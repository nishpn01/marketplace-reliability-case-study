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829e50b8ad40e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Read Me" sheetId="1" ns1:id="R10b6f068b2704724"/>
    <x:sheet name="Aggregate Evidence" sheetId="2" ns1:id="Rb831470f31b843b3"/>
    <x:sheet name="Calculations &amp; Checks" sheetId="3" ns1:id="Rcab72c1728ae470d"/>
    <x:sheet name="Methodology &amp; Dictionary" sheetId="4" ns1:id="R156a6897f6044187"/>
  </x:sheets>
  <x:calcPr calcMode="auto" fullCalcOnLoad="1" forceFullCalc="1" calcOnSave="1"/>
  <x:definedNames>
    <x:definedName name="_xlnm.Print_Area" localSheetId="0">'Read Me'!$A$1:$G$21</x:definedName>
    <x:definedName name="_xlnm.Print_Area" localSheetId="1">'Aggregate Evidence'!$A$1:$G$35</x:definedName>
    <x:definedName name="_xlnm.Print_Area" localSheetId="2">'Calculations &amp; Checks'!$A$1:$F$27</x:definedName>
    <x:definedName name="_xlnm.Print_Area" localSheetId="3">'Methodology &amp; Dictionary'!$A$1:$F$30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0%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F6B75"/>
      <x:name val="Carlito"/>
    </x:font>
    <x:font>
      <x:b/>
      <x:sz val="11"/>
      <x:color rgb="FF1F4E5F"/>
      <x:name val="Carlito"/>
    </x:font>
    <x:font>
      <x:sz val="11"/>
      <x:color rgb="FF263238"/>
      <x:name val="Carlito"/>
    </x:font>
    <x:font>
      <x:b/>
      <x:sz val="11"/>
      <x:color rgb="FFFFFFFF"/>
      <x:name val="Carlito"/>
    </x:font>
    <x:font>
      <x:b/>
      <x:sz val="11"/>
      <x:color rgb="FF26323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7F8FA"/>
      </x:patternFill>
    </x:fill>
    <x:fill>
      <x:patternFill patternType="solid">
        <x:fgColor rgb="FFE8EEF5"/>
      </x:patternFill>
    </x:fill>
    <x:fill>
      <x:patternFill patternType="solid">
        <x:fgColor rgb="FF486581"/>
      </x:patternFill>
    </x:fill>
    <x:fill>
      <x:patternFill patternType="solid">
        <x:fgColor rgb="FFEAF1F5"/>
      </x:patternFill>
    </x:fill>
  </x:fills>
  <x:borders count="13">
    <x:border/>
    <x:border>
      <x:right style="thin">
        <x:color rgb="FFC8D2DA"/>
      </x:right>
      <x:bottom style="thin">
        <x:color rgb="FFC8D2DA"/>
      </x:bottom>
    </x:border>
    <x:border>
      <x:left style="thin">
        <x:color rgb="FFC8D2DA"/>
      </x:left>
      <x:bottom style="thin">
        <x:color rgb="FFC8D2DA"/>
      </x:bottom>
    </x:border>
    <x:border>
      <x:right style="thin">
        <x:color rgb="FFC8D2DA"/>
      </x:right>
      <x:top style="thin">
        <x:color rgb="FFC8D2DA"/>
      </x:top>
      <x:bottom style="thin">
        <x:color rgb="FFC8D2DA"/>
      </x:bottom>
    </x:border>
    <x:border>
      <x:left style="thin">
        <x:color rgb="FFC8D2DA"/>
      </x:left>
      <x:top style="thin">
        <x:color rgb="FFC8D2DA"/>
      </x:top>
      <x:bottom style="thin">
        <x:color rgb="FFC8D2DA"/>
      </x:bottom>
    </x:border>
    <x:border>
      <x:right style="thin">
        <x:color rgb="FFC8D2DA"/>
      </x:right>
      <x:top style="thin">
        <x:color rgb="FFC8D2DA"/>
      </x:top>
    </x:border>
    <x:border>
      <x:left style="thin">
        <x:color rgb="FFC8D2DA"/>
      </x:left>
      <x:top style="thin">
        <x:color rgb="FFC8D2DA"/>
      </x:top>
    </x:border>
    <x:border>
      <x:left style="thin">
        <x:color rgb="FFC8D2DA"/>
      </x:left>
      <x:right style="thin">
        <x:color rgb="FFC8D2DA"/>
      </x:right>
      <x:top style="thin">
        <x:color rgb="FFC8D2DA"/>
      </x:top>
      <x:bottom style="thin">
        <x:color rgb="FFC8D2DA"/>
      </x:bottom>
    </x:border>
    <x:border>
      <x:left style="thin">
        <x:color rgb="FFC8D2DA"/>
      </x:left>
      <x:right style="thin">
        <x:color rgb="FFC8D2DA"/>
      </x:right>
      <x:bottom style="thin">
        <x:color rgb="FFC8D2DA"/>
      </x:bottom>
    </x:border>
    <x:border>
      <x:left style="thin">
        <x:color rgb="FFC8D2DA"/>
      </x:left>
      <x:right style="thin">
        <x:color rgb="FFC8D2DA"/>
      </x:right>
      <x:top style="thin">
        <x:color rgb="FFC8D2DA"/>
      </x:top>
    </x:border>
    <x:border>
      <x:right style="thin">
        <x:color rgb="FFC8D2DA"/>
      </x:right>
    </x:border>
    <x:border>
      <x:left style="thin">
        <x:color rgb="FFC8D2DA"/>
      </x:left>
      <x:right style="thin">
        <x:color rgb="FFC8D2DA"/>
      </x:right>
    </x:border>
    <x:border>
      <x:left style="thin">
        <x:color rgb="FFC8D2DA"/>
      </x:left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7" xfId="0" applyNumberFormat="1" applyFont="1" applyFill="1" applyBorder="1"/>
    <x:xf numFmtId="0" fontId="5" fillId="5" borderId="7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horizontal="center" wrapText="1"/>
    </x:xf>
    <x:xf numFmtId="0" fontId="5" fillId="5" borderId="7" xfId="0" applyNumberFormat="1" applyFont="1" applyFill="1" applyBorder="1" applyAlignment="1">
      <x:alignment horizontal="center" vertical="center" wrapText="1"/>
    </x:xf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200" fontId="4" fillId="0" borderId="8" xfId="0" applyNumberFormat="1" applyFont="1" applyFill="1" applyBorder="1" applyAlignment="1">
      <x:alignment vertical="center" wrapText="1"/>
    </x:xf>
    <x:xf numFmtId="200" fontId="4" fillId="0" borderId="9" xfId="0" applyNumberFormat="1" applyFont="1" applyFill="1" applyBorder="1" applyAlignment="1">
      <x:alignment vertical="center" wrapText="1"/>
    </x:xf>
    <x:xf numFmtId="201" fontId="4" fillId="0" borderId="2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  <x:xf numFmtId="200" fontId="4" fillId="0" borderId="7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0" fontId="4" fillId="4" borderId="9" xfId="0" applyNumberFormat="1" applyFont="1" applyFill="1" applyBorder="1" applyAlignment="1">
      <x:alignment vertical="center" wrapText="1"/>
    </x:xf>
    <x:xf numFmtId="200" fontId="4" fillId="4" borderId="6" xfId="0" applyNumberFormat="1" applyFont="1" applyFill="1" applyBorder="1" applyAlignment="1">
      <x:alignment vertical="center" wrapText="1"/>
    </x:xf>
    <x:xf numFmtId="0" fontId="6" fillId="4" borderId="5" xfId="0" applyNumberFormat="1" applyFont="1" applyFill="1" applyBorder="1" applyAlignment="1">
      <x:alignment vertical="center" wrapText="1"/>
    </x:xf>
    <x:xf numFmtId="200" fontId="6" fillId="4" borderId="9" xfId="0" applyNumberFormat="1" applyFont="1" applyFill="1" applyBorder="1" applyAlignment="1">
      <x:alignment vertical="center" wrapText="1"/>
    </x:xf>
    <x:xf numFmtId="200" fontId="6" fillId="4" borderId="6" xfId="0" applyNumberFormat="1" applyFont="1" applyFill="1" applyBorder="1" applyAlignment="1">
      <x:alignment vertical="center" wrapText="1"/>
    </x:xf>
    <x:xf numFmtId="0" fontId="6" fillId="4" borderId="7" xfId="0" applyNumberFormat="1" applyFont="1" applyFill="1" applyBorder="1" applyAlignment="1">
      <x:alignment vertical="center" wrapText="1"/>
    </x:xf>
    <x:xf numFmtId="200" fontId="6" fillId="4" borderId="7" xfId="0" applyNumberFormat="1" applyFont="1" applyFill="1" applyBorder="1" applyAlignment="1">
      <x:alignment vertical="center" wrapText="1"/>
    </x:xf>
    <x:xf numFmtId="201" fontId="4" fillId="0" borderId="8" xfId="0" applyNumberFormat="1" applyFont="1" applyFill="1" applyBorder="1" applyAlignment="1">
      <x:alignment vertical="center" wrapText="1"/>
    </x:xf>
    <x:xf numFmtId="201" fontId="4" fillId="0" borderId="7" xfId="0" applyNumberFormat="1" applyFont="1" applyFill="1" applyBorder="1" applyAlignment="1">
      <x:alignment vertical="center" wrapText="1"/>
    </x:xf>
    <x:xf numFmtId="201" fontId="4" fillId="0" borderId="9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6" borderId="3" xfId="0" applyNumberFormat="1" applyFont="1" applyFill="1" applyBorder="1" applyAlignment="1">
      <x:alignment vertical="center" wrapText="1"/>
    </x:xf>
    <x:xf numFmtId="200" fontId="4" fillId="6" borderId="7" xfId="0" applyNumberFormat="1" applyFont="1" applyFill="1" applyBorder="1" applyAlignment="1">
      <x:alignment vertical="center" wrapText="1"/>
    </x:xf>
    <x:xf numFmtId="201" fontId="4" fillId="6" borderId="7" xfId="0" applyNumberFormat="1" applyFont="1" applyFill="1" applyBorder="1" applyAlignment="1">
      <x:alignment vertical="center" wrapText="1"/>
    </x:xf>
    <x:xf numFmtId="201" fontId="4" fillId="6" borderId="4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vertical="center" wrapText="1"/>
    </x:xf>
    <x:xf numFmtId="200" fontId="6" fillId="6" borderId="7" xfId="0" applyNumberFormat="1" applyFont="1" applyFill="1" applyBorder="1" applyAlignment="1">
      <x:alignment vertical="center" wrapText="1"/>
    </x:xf>
    <x:xf numFmtId="201" fontId="6" fillId="6" borderId="7" xfId="0" applyNumberFormat="1" applyFont="1" applyFill="1" applyBorder="1" applyAlignment="1">
      <x:alignment vertical="center" wrapText="1"/>
    </x:xf>
    <x:xf numFmtId="201" fontId="6" fillId="6" borderId="4" xfId="0" applyNumberFormat="1" applyFont="1" applyFill="1" applyBorder="1" applyAlignment="1">
      <x:alignment vertical="center" wrapText="1"/>
    </x:xf>
    <x:xf numFmtId="0" fontId="6" fillId="6" borderId="7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200" fontId="4" fillId="6" borderId="8" xfId="0" applyNumberFormat="1" applyFont="1" applyFill="1" applyBorder="1" applyAlignment="1">
      <x:alignment vertical="center" wrapText="1"/>
    </x:xf>
    <x:xf numFmtId="201" fontId="4" fillId="6" borderId="2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vertical="center" wrapText="1"/>
    </x:xf>
    <x:xf numFmtId="200" fontId="6" fillId="6" borderId="8" xfId="0" applyNumberFormat="1" applyFont="1" applyFill="1" applyBorder="1" applyAlignment="1">
      <x:alignment vertical="center" wrapText="1"/>
    </x:xf>
    <x:xf numFmtId="201" fontId="6" fillId="6" borderId="2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6" fillId="4" borderId="7" xfId="0" applyNumberFormat="1" applyFont="1" applyFill="1" applyBorder="1"/>
    <x:xf numFmtId="200" fontId="6" fillId="4" borderId="7" xfId="0" applyNumberFormat="1" applyFont="1" applyFill="1" applyBorder="1"/>
  </x:cellXfs>
  <x:cellStyles count="1">
    <x:cellStyle name="Normal" xfId="0"/>
  </x:cellStyles>
  <x:dxfs count="4">
    <x:dxf>
      <x:font>
        <x:b/>
        <x:color rgb="FF24613B"/>
      </x:font>
      <x:fill>
        <x:patternFill patternType="solid">
          <x:bgColor rgb="FFE8F3EE"/>
        </x:patternFill>
      </x:fill>
    </x:dxf>
    <x:dxf>
      <x:font>
        <x:b/>
        <x:color rgb="FF9B1C1C"/>
      </x:font>
      <x:fill>
        <x:patternFill patternType="solid">
          <x:bgColor rgb="FFFDECEC"/>
        </x:patternFill>
      </x:fill>
    </x:dxf>
    <x:dxf>
      <x:font>
        <x:b/>
        <x:color rgb="FF24613B"/>
      </x:font>
      <x:fill>
        <x:patternFill patternType="solid">
          <x:bgColor rgb="FFE8F3EE"/>
        </x:patternFill>
      </x:fill>
    </x:dxf>
    <x:dxf>
      <x:font>
        <x:b/>
        <x:color rgb="FF9B1C1C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91281ca8e543ba" /><Relationship Type="http://schemas.openxmlformats.org/officeDocument/2006/relationships/theme" Target="/xl/theme/theme1.xml" Id="R4efebf6163b94ead" /><Relationship Type="http://schemas.openxmlformats.org/officeDocument/2006/relationships/sharedStrings" Target="/xl/sharedStrings.xml" Id="R4944919375b040e8" /><Relationship Type="http://schemas.openxmlformats.org/officeDocument/2006/relationships/worksheet" Target="/xl/worksheets/sheet1.xml" Id="R10b6f068b2704724" /><Relationship Type="http://schemas.openxmlformats.org/officeDocument/2006/relationships/worksheet" Target="/xl/worksheets/sheet2.xml" Id="Rb831470f31b843b3" /><Relationship Type="http://schemas.openxmlformats.org/officeDocument/2006/relationships/worksheet" Target="/xl/worksheets/sheet3.xml" Id="Rcab72c1728ae470d" /><Relationship Type="http://schemas.openxmlformats.org/officeDocument/2006/relationships/worksheet" Target="/xl/worksheets/sheet4.xml" Id="R156a6897f60441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12" hidden="0" customWidth="1"/>
    <x:col min="2" max="2" width="80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4" t="str">
        <x:v>Marketplace Reliability: Aggregate Analysis Workbook</x:v>
      </x:c>
      <x:c r="B1" s="4" t="str">
        <x:v>Marketplace Reliability: Aggregate Analysis Workbook</x:v>
      </x:c>
      <x:c r="C1" s="4" t="str">
        <x:v>Marketplace Reliability: Aggregate Analysis Workbook</x:v>
      </x:c>
      <x:c r="D1" s="4" t="str">
        <x:v>Marketplace Reliability: Aggregate Analysis Workbook</x:v>
      </x:c>
      <x:c r="E1" s="4" t="str">
        <x:v>Marketplace Reliability: Aggregate Analysis Workbook</x:v>
      </x:c>
      <x:c r="F1" s="4" t="str">
        <x:v>Marketplace Reliability: Aggregate Analysis Workbook</x:v>
      </x:c>
      <x:c r="G1" s="4" t="str">
        <x:v>Marketplace Reliability: Aggregate Analysis Workbook</x:v>
      </x:c>
    </x:row>
    <x:row r="3" ht="34" customHeight="1">
      <x:c r="A3" s="8" t="str">
        <x:v>An anonymized portfolio edition of a take-home case. This workbook begins from aggregate evidence and contains no source, cleaned, or row-derived operational records.</x:v>
      </x:c>
      <x:c r="B3" s="8"/>
      <x:c r="C3" s="8"/>
      <x:c r="D3" s="8"/>
      <x:c r="E3" s="8"/>
      <x:c r="F3" s="8"/>
      <x:c r="G3" s="8"/>
    </x:row>
    <x:row r="5" ht="22" customHeight="1">
      <x:c r="A5" s="12" t="str">
        <x:v>How to use this workbook</x:v>
      </x:c>
      <x:c r="B5" s="12" t="str">
        <x:v>How to use this workbook</x:v>
      </x:c>
      <x:c r="C5" s="12" t="str">
        <x:v>How to use this workbook</x:v>
      </x:c>
      <x:c r="D5" s="12" t="str">
        <x:v>How to use this workbook</x:v>
      </x:c>
      <x:c r="E5" s="12" t="str">
        <x:v>How to use this workbook</x:v>
      </x:c>
      <x:c r="F5" s="12" t="str">
        <x:v>How to use this workbook</x:v>
      </x:c>
      <x:c r="G5" s="12" t="str">
        <x:v>How to use this workbook</x:v>
      </x:c>
    </x:row>
    <x:row r="6">
      <x:c r="A6" s="39" t="str">
        <x:v>1</x:v>
      </x:c>
      <x:c r="B6" s="27" t="str">
        <x:v>Review the aggregate count tables and formula-derived rates on Aggregate Evidence.</x:v>
      </x:c>
    </x:row>
    <x:row r="7">
      <x:c r="A7" s="39" t="str">
        <x:v>2</x:v>
      </x:c>
      <x:c r="B7" s="29" t="str">
        <x:v>Use Calculations &amp; Checks to trace the published figures and reconciliations.</x:v>
      </x:c>
    </x:row>
    <x:row r="8">
      <x:c r="A8" s="39" t="str">
        <x:v>3</x:v>
      </x:c>
      <x:c r="B8" s="29" t="str">
        <x:v>Read Methodology &amp; Dictionary for scope, definitions, and constraints.</x:v>
      </x:c>
    </x:row>
    <x:row r="9">
      <x:c r="A9" s="39" t="str">
        <x:v>4</x:v>
      </x:c>
      <x:c r="B9" s="29" t="str">
        <x:v>Treat all comparisons as descriptive; the proposed pilot is required to evaluate causal impact.</x:v>
      </x:c>
    </x:row>
    <x:row r="10">
      <x:c r="A10" s="39" t="str">
        <x:v>5</x:v>
      </x:c>
      <x:c r="B10" s="31" t="str">
        <x:v>Use MarketplaceCo and Metro A only as anonymized aliases in public discussion of this case.</x:v>
      </x:c>
    </x:row>
    <x:row r="12" ht="22" customHeight="1">
      <x:c r="A12" s="12" t="str">
        <x:v>Workbook contents</x:v>
      </x:c>
      <x:c r="B12" s="12" t="str">
        <x:v>Workbook contents</x:v>
      </x:c>
      <x:c r="C12" s="12" t="str">
        <x:v>Workbook contents</x:v>
      </x:c>
      <x:c r="D12" s="12" t="str">
        <x:v>Workbook contents</x:v>
      </x:c>
      <x:c r="E12" s="12" t="str">
        <x:v>Workbook contents</x:v>
      </x:c>
      <x:c r="F12" s="12" t="str">
        <x:v>Workbook contents</x:v>
      </x:c>
      <x:c r="G12" s="12" t="str">
        <x:v>Workbook contents</x:v>
      </x:c>
    </x:row>
    <x:row r="13">
      <x:c r="A13" s="45" t="str">
        <x:v>Sheet</x:v>
      </x:c>
      <x:c r="B13" s="45" t="str">
        <x:v>Purpose</x:v>
      </x:c>
      <x:c r="C13" s="45" t="str">
        <x:v>Row-level data?</x:v>
      </x:c>
    </x:row>
    <x:row r="14">
      <x:c r="A14" s="26" t="str">
        <x:v>Aggregate Evidence</x:v>
      </x:c>
      <x:c r="B14" s="50" t="str">
        <x:v>Published aggregate counts and formula-driven rates</x:v>
      </x:c>
      <x:c r="C14" s="27" t="str">
        <x:v>No</x:v>
      </x:c>
    </x:row>
    <x:row r="15">
      <x:c r="A15" s="30" t="str">
        <x:v>Calculations &amp; Checks</x:v>
      </x:c>
      <x:c r="B15" s="51" t="str">
        <x:v>Cross-sheet formula checks and reconciliations</x:v>
      </x:c>
      <x:c r="C15" s="31" t="str">
        <x:v>No</x:v>
      </x:c>
    </x:row>
    <x:row r="16">
      <x:c r="A16" s="58" t="str">
        <x:v>Methodology &amp; Dictionary</x:v>
      </x:c>
      <x:c r="B16" s="59" t="str">
        <x:v>Definitions, data dictionary, scope, and disclosure</x:v>
      </x:c>
      <x:c r="C16" s="60" t="str">
        <x:v>No</x:v>
      </x:c>
    </x:row>
    <x:row r="18" ht="22" customHeight="1">
      <x:c r="A18" s="12" t="str">
        <x:v>Source treatment</x:v>
      </x:c>
      <x:c r="B18" s="12" t="str">
        <x:v>Source treatment</x:v>
      </x:c>
      <x:c r="C18" s="12" t="str">
        <x:v>Source treatment</x:v>
      </x:c>
      <x:c r="D18" s="12" t="str">
        <x:v>Source treatment</x:v>
      </x:c>
      <x:c r="E18" s="12" t="str">
        <x:v>Source treatment</x:v>
      </x:c>
      <x:c r="F18" s="12" t="str">
        <x:v>Source treatment</x:v>
      </x:c>
      <x:c r="G18" s="12" t="str">
        <x:v>Source treatment</x:v>
      </x:c>
    </x:row>
    <x:row r="19" ht="22" customHeight="1">
      <x:c r="A19" s="8" t="str">
        <x:v>The assessment did not provide redistribution permission for source or cleaned rows. The public workbook is not a masked copy and does not reproduce the private ETL pipeline. Every reported rate is calculated from the aggregate numerator and denominator displayed in this workbook.</x:v>
      </x:c>
      <x:c r="B19" s="8"/>
      <x:c r="C19" s="8"/>
      <x:c r="D19" s="8"/>
      <x:c r="E19" s="8"/>
      <x:c r="F19" s="8"/>
      <x:c r="G19" s="8"/>
    </x:row>
    <x:row r="20" ht="22" customHeight="1">
      <x:c r="A20" s="8"/>
      <x:c r="B20" s="8"/>
      <x:c r="C20" s="8"/>
      <x:c r="D20" s="8"/>
      <x:c r="E20" s="8"/>
      <x:c r="F20" s="8"/>
      <x:c r="G20" s="8"/>
    </x:row>
    <x:row r="21" ht="22" customHeight="1">
      <x:c r="A21" s="8"/>
      <x:c r="B21" s="8"/>
      <x:c r="C21" s="8"/>
      <x:c r="D21" s="8"/>
      <x:c r="E21" s="8"/>
      <x:c r="F21" s="8"/>
      <x:c r="G21" s="8"/>
    </x:row>
  </x:sheetData>
  <x:mergeCells>
    <x:mergeCell ref="A1:G1"/>
    <x:mergeCell ref="A3:G3"/>
    <x:mergeCell ref="A5:G5"/>
    <x:mergeCell ref="A12:G12"/>
    <x:mergeCell ref="A18:G18"/>
    <x:mergeCell ref="A19:G21"/>
  </x:mergeCells>
  <x:pageMargins left="0.7" right="0.7" top="0.75" bottom="0.75" header="0.3" footer="0.3"/>
  <x:pageSetup orientation="landscape" paperSize="9" fitToWidth="1" fitToHeight="1" horizontalDpi="300" verticalDpi="300"/>
  <x:printOptions gridLines="0"/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33" hidden="0" customWidth="1"/>
    <x:col min="2" max="2" width="16" hidden="0" customWidth="1"/>
    <x:col min="3" max="3" width="15" hidden="0" customWidth="1"/>
    <x:col min="4" max="4" width="20" hidden="0" customWidth="1"/>
    <x:col min="5" max="5" width="15" hidden="0" customWidth="1"/>
    <x:col min="6" max="6" width="20" hidden="0" customWidth="1"/>
    <x:col min="7" max="7" width="15" hidden="0" customWidth="1"/>
  </x:cols>
  <x:sheetData>
    <x:row r="1" ht="30" customHeight="1">
      <x:c r="A1" s="4" t="str">
        <x:v>Aggregate Evidence</x:v>
      </x:c>
      <x:c r="B1" s="4" t="str">
        <x:v>Aggregate Evidence</x:v>
      </x:c>
      <x:c r="C1" s="4" t="str">
        <x:v>Aggregate Evidence</x:v>
      </x:c>
      <x:c r="D1" s="4" t="str">
        <x:v>Aggregate Evidence</x:v>
      </x:c>
      <x:c r="E1" s="4" t="str">
        <x:v>Aggregate Evidence</x:v>
      </x:c>
      <x:c r="F1" s="4" t="str">
        <x:v>Aggregate Evidence</x:v>
      </x:c>
      <x:c r="G1" s="4" t="str">
        <x:v>Aggregate Evidence</x:v>
      </x:c>
    </x:row>
    <x:row r="3">
      <x:c r="A3" s="8" t="str">
        <x:v>All rates in this sheet are formulas calculated from the displayed aggregate numerator and denominator. Inputs represent the published evidence for the Metro A analysis population.</x:v>
      </x:c>
      <x:c r="B3" s="8"/>
      <x:c r="C3" s="8"/>
      <x:c r="D3" s="8"/>
      <x:c r="E3" s="8"/>
      <x:c r="F3" s="8"/>
      <x:c r="G3" s="8"/>
    </x:row>
    <x:row r="5" ht="22" customHeight="1">
      <x:c r="A5" s="12" t="str">
        <x:v>Baseline outcomes: 41,040 Shift IDs</x:v>
      </x:c>
      <x:c r="B5" s="12" t="str">
        <x:v>Baseline outcomes: 41,040 Shift IDs</x:v>
      </x:c>
      <x:c r="C5" s="12" t="str">
        <x:v>Baseline outcomes: 41,040 Shift IDs</x:v>
      </x:c>
      <x:c r="D5" s="12" t="str">
        <x:v>Baseline outcomes: 41,040 Shift IDs</x:v>
      </x:c>
      <x:c r="E5" s="12" t="str">
        <x:v>Baseline outcomes: 41,040 Shift IDs</x:v>
      </x:c>
      <x:c r="F5" s="12" t="str">
        <x:v>Baseline outcomes: 41,040 Shift IDs</x:v>
      </x:c>
      <x:c r="G5" s="12" t="str">
        <x:v>Baseline outcomes: 41,040 Shift IDs</x:v>
      </x:c>
    </x:row>
    <x:row r="6">
      <x:c r="A6" s="45" t="str">
        <x:v>Metric</x:v>
      </x:c>
      <x:c r="B6" s="45" t="str">
        <x:v>Numerator</x:v>
      </x:c>
      <x:c r="C6" s="45" t="str">
        <x:v>Denominator</x:v>
      </x:c>
      <x:c r="D6" s="45" t="str">
        <x:v>Rate</x:v>
      </x:c>
    </x:row>
    <x:row r="7">
      <x:c r="A7" s="26" t="str">
        <x:v>Late healthcare-professional cancellation</x:v>
      </x:c>
      <x:c r="B7" s="61" t="n">
        <x:v>2486</x:v>
      </x:c>
      <x:c r="C7" s="61" t="n">
        <x:v>41040</x:v>
      </x:c>
      <x:c r="D7" s="63" t="n">
        <x:f>B7/C7</x:f>
        <x:v>0.06057504873294347</x:v>
      </x:c>
    </x:row>
    <x:row r="8">
      <x:c r="A8" s="30" t="str">
        <x:v>NCNS</x:v>
      </x:c>
      <x:c r="B8" s="62" t="n">
        <x:v>1253</x:v>
      </x:c>
      <x:c r="C8" s="62" t="n">
        <x:v>41040</x:v>
      </x:c>
      <x:c r="D8" s="64" t="n">
        <x:f>B8/C8</x:f>
        <x:v>0.030531189083820662</x:v>
      </x:c>
    </x:row>
    <x:row r="10" ht="22" customHeight="1">
      <x:c r="A10" s="12" t="str">
        <x:v>Outcome overlap reconciliation</x:v>
      </x:c>
      <x:c r="B10" s="12" t="str">
        <x:v>Outcome overlap reconciliation</x:v>
      </x:c>
      <x:c r="C10" s="12" t="str">
        <x:v>Outcome overlap reconciliation</x:v>
      </x:c>
      <x:c r="D10" s="12" t="str">
        <x:v>Outcome overlap reconciliation</x:v>
      </x:c>
      <x:c r="E10" s="12" t="str">
        <x:v>Outcome overlap reconciliation</x:v>
      </x:c>
      <x:c r="F10" s="12" t="str">
        <x:v>Outcome overlap reconciliation</x:v>
      </x:c>
      <x:c r="G10" s="12" t="str">
        <x:v>Outcome overlap reconciliation</x:v>
      </x:c>
    </x:row>
    <x:row r="11">
      <x:c r="A11" s="45" t="str">
        <x:v>Late-cancellation flag</x:v>
      </x:c>
      <x:c r="B11" s="45" t="str">
        <x:v>NCNS absent</x:v>
      </x:c>
      <x:c r="C11" s="45" t="str">
        <x:v>NCNS present</x:v>
      </x:c>
      <x:c r="D11" s="45" t="str">
        <x:v>Total</x:v>
      </x:c>
    </x:row>
    <x:row r="12">
      <x:c r="A12" s="26" t="str">
        <x:v>Absent</x:v>
      </x:c>
      <x:c r="B12" s="61" t="n">
        <x:v>37368</x:v>
      </x:c>
      <x:c r="C12" s="61" t="n">
        <x:v>1186</x:v>
      </x:c>
      <x:c r="D12" s="68" t="n">
        <x:f>B12+C12</x:f>
        <x:v>38554</x:v>
      </x:c>
    </x:row>
    <x:row r="13">
      <x:c r="A13" s="28" t="str">
        <x:v>Present</x:v>
      </x:c>
      <x:c r="B13" s="69" t="n">
        <x:v>2419</x:v>
      </x:c>
      <x:c r="C13" s="69" t="n">
        <x:v>67</x:v>
      </x:c>
      <x:c r="D13" s="70" t="n">
        <x:f>B13+C13</x:f>
        <x:v>2486</x:v>
      </x:c>
    </x:row>
    <x:row r="14">
      <x:c r="A14" s="77" t="str">
        <x:v>Total</x:v>
      </x:c>
      <x:c r="B14" s="78" t="n">
        <x:f>SUM(B12:B13)</x:f>
        <x:v>39787</x:v>
      </x:c>
      <x:c r="C14" s="78" t="n">
        <x:f>SUM(C12:C13)</x:f>
        <x:v>1253</x:v>
      </x:c>
      <x:c r="D14" s="78" t="n">
        <x:f>SUM(D12:D13)</x:f>
        <x:v>41040</x:v>
      </x:c>
    </x:row>
    <x:row r="16" ht="22" customHeight="1">
      <x:c r="A16" s="12" t="str">
        <x:v>Booking timing: formula-derived late-cancellation rates</x:v>
      </x:c>
      <x:c r="B16" s="12" t="str">
        <x:v>Booking timing: formula-derived late-cancellation rates</x:v>
      </x:c>
      <x:c r="C16" s="12" t="str">
        <x:v>Booking timing: formula-derived late-cancellation rates</x:v>
      </x:c>
      <x:c r="D16" s="12" t="str">
        <x:v>Booking timing: formula-derived late-cancellation rates</x:v>
      </x:c>
      <x:c r="E16" s="12" t="str">
        <x:v>Booking timing: formula-derived late-cancellation rates</x:v>
      </x:c>
      <x:c r="F16" s="12" t="str">
        <x:v>Booking timing: formula-derived late-cancellation rates</x:v>
      </x:c>
      <x:c r="G16" s="12" t="str">
        <x:v>Booking timing: formula-derived late-cancellation rates</x:v>
      </x:c>
    </x:row>
    <x:row r="17">
      <x:c r="A17" s="45" t="str">
        <x:v>Booking time before start</x:v>
      </x:c>
      <x:c r="B17" s="45" t="str">
        <x:v>First booking: shifts</x:v>
      </x:c>
      <x:c r="C17" s="45" t="str">
        <x:v>First booking: late cancellations</x:v>
      </x:c>
      <x:c r="D17" s="45" t="str">
        <x:v>First booking: rate</x:v>
      </x:c>
      <x:c r="E17" s="45" t="str">
        <x:v>One booking: shifts</x:v>
      </x:c>
      <x:c r="F17" s="45" t="str">
        <x:v>One booking: late cancellations</x:v>
      </x:c>
      <x:c r="G17" s="45" t="str">
        <x:v>One booking: rate</x:v>
      </x:c>
    </x:row>
    <x:row r="18">
      <x:c r="A18" s="26" t="str">
        <x:v>0-&lt;24 hours</x:v>
      </x:c>
      <x:c r="B18" s="61" t="n">
        <x:v>822</x:v>
      </x:c>
      <x:c r="C18" s="61" t="n">
        <x:v>75</x:v>
      </x:c>
      <x:c r="D18" s="79" t="n">
        <x:f>C18/B18</x:f>
        <x:v>0.09124087591240876</x:v>
      </x:c>
      <x:c r="E18" s="61" t="n">
        <x:v>798</x:v>
      </x:c>
      <x:c r="F18" s="61" t="n">
        <x:v>57</x:v>
      </x:c>
      <x:c r="G18" s="63" t="n">
        <x:f>F18/E18</x:f>
        <x:v>0.07142857142857142</x:v>
      </x:c>
    </x:row>
    <x:row r="19">
      <x:c r="A19" s="91" t="str">
        <x:v>24-&lt;72 hours</x:v>
      </x:c>
      <x:c r="B19" s="88" t="n">
        <x:v>1505</x:v>
      </x:c>
      <x:c r="C19" s="88" t="n">
        <x:v>205</x:v>
      </x:c>
      <x:c r="D19" s="89" t="n">
        <x:f>C19/B19</x:f>
        <x:v>0.1362126245847176</x:v>
      </x:c>
      <x:c r="E19" s="88" t="n">
        <x:v>1427</x:v>
      </x:c>
      <x:c r="F19" s="88" t="n">
        <x:v>163</x:v>
      </x:c>
      <x:c r="G19" s="89" t="n">
        <x:f>F19/E19</x:f>
        <x:v>0.11422564821303434</x:v>
      </x:c>
    </x:row>
    <x:row r="20">
      <x:c r="A20" s="28" t="str">
        <x:v>3-&lt;7 days</x:v>
      </x:c>
      <x:c r="B20" s="69" t="n">
        <x:v>2299</x:v>
      </x:c>
      <x:c r="C20" s="69" t="n">
        <x:v>279</x:v>
      </x:c>
      <x:c r="D20" s="80" t="n">
        <x:f>C20/B20</x:f>
        <x:v>0.1213571117877338</x:v>
      </x:c>
      <x:c r="E20" s="69" t="n">
        <x:v>2071</x:v>
      </x:c>
      <x:c r="F20" s="69" t="n">
        <x:v>195</x:v>
      </x:c>
      <x:c r="G20" s="82" t="n">
        <x:f>F20/E20</x:f>
        <x:v>0.09415741187831965</x:v>
      </x:c>
    </x:row>
    <x:row r="21">
      <x:c r="A21" s="28" t="str">
        <x:v>7-&lt;30 days</x:v>
      </x:c>
      <x:c r="B21" s="69" t="n">
        <x:v>4458</x:v>
      </x:c>
      <x:c r="C21" s="69" t="n">
        <x:v>357</x:v>
      </x:c>
      <x:c r="D21" s="80" t="n">
        <x:f>C21/B21</x:f>
        <x:v>0.0800807537012113</x:v>
      </x:c>
      <x:c r="E21" s="69" t="n">
        <x:v>3362</x:v>
      </x:c>
      <x:c r="F21" s="69" t="n">
        <x:v>170</x:v>
      </x:c>
      <x:c r="G21" s="82" t="n">
        <x:f>F21/E21</x:f>
        <x:v>0.05056513979773944</x:v>
      </x:c>
    </x:row>
    <x:row r="22">
      <x:c r="A22" s="30" t="str">
        <x:v>30+ days</x:v>
      </x:c>
      <x:c r="B22" s="62" t="n">
        <x:v>206</x:v>
      </x:c>
      <x:c r="C22" s="62" t="n">
        <x:v>16</x:v>
      </x:c>
      <x:c r="D22" s="81" t="n">
        <x:f>C22/B22</x:f>
        <x:v>0.07766990291262135</x:v>
      </x:c>
      <x:c r="E22" s="62" t="n">
        <x:v>121</x:v>
      </x:c>
      <x:c r="F22" s="62" t="n">
        <x:v>3</x:v>
      </x:c>
      <x:c r="G22" s="64" t="n">
        <x:f>F22/E22</x:f>
        <x:v>0.024793388429752067</x:v>
      </x:c>
    </x:row>
    <x:row r="24" ht="22" customHeight="1">
      <x:c r="A24" s="12" t="str">
        <x:v>Time-aware healthcare-professional history screen</x:v>
      </x:c>
      <x:c r="B24" s="12" t="str">
        <x:v>Time-aware healthcare-professional history screen</x:v>
      </x:c>
      <x:c r="C24" s="12" t="str">
        <x:v>Time-aware healthcare-professional history screen</x:v>
      </x:c>
      <x:c r="D24" s="12" t="str">
        <x:v>Time-aware healthcare-professional history screen</x:v>
      </x:c>
      <x:c r="E24" s="12" t="str">
        <x:v>Time-aware healthcare-professional history screen</x:v>
      </x:c>
      <x:c r="F24" s="12" t="str">
        <x:v>Time-aware healthcare-professional history screen</x:v>
      </x:c>
      <x:c r="G24" s="12" t="str">
        <x:v>Time-aware healthcare-professional history screen</x:v>
      </x:c>
    </x:row>
    <x:row r="25">
      <x:c r="A25" s="45" t="str">
        <x:v>Group</x:v>
      </x:c>
      <x:c r="B25" s="45" t="str">
        <x:v>Booking decisions</x:v>
      </x:c>
      <x:c r="C25" s="45" t="str">
        <x:v>Late cancellations on booked shift</x:v>
      </x:c>
      <x:c r="D25" s="45" t="str">
        <x:v>Rate</x:v>
      </x:c>
    </x:row>
    <x:row r="26">
      <x:c r="A26" s="91" t="str">
        <x:v>Meets 10+ prior resolved shifts and &lt;10% prior rate</x:v>
      </x:c>
      <x:c r="B26" s="88" t="n">
        <x:v>589</x:v>
      </x:c>
      <x:c r="C26" s="88" t="n">
        <x:v>44</x:v>
      </x:c>
      <x:c r="D26" s="89" t="n">
        <x:f>C26/B26</x:f>
        <x:v>0.07470288624787776</x:v>
      </x:c>
    </x:row>
    <x:row r="27">
      <x:c r="A27" s="30" t="str">
        <x:v>Other target-window bookings</x:v>
      </x:c>
      <x:c r="B27" s="62" t="n">
        <x:v>1153</x:v>
      </x:c>
      <x:c r="C27" s="62" t="n">
        <x:v>181</x:v>
      </x:c>
      <x:c r="D27" s="64" t="n">
        <x:f>C27/B27</x:f>
        <x:v>0.1569817866435386</x:v>
      </x:c>
    </x:row>
    <x:row r="29" ht="22" customHeight="1">
      <x:c r="A29" s="12" t="str">
        <x:v>Minimum-history sensitivity with prior rate below 10%</x:v>
      </x:c>
      <x:c r="B29" s="12" t="str">
        <x:v>Minimum-history sensitivity with prior rate below 10%</x:v>
      </x:c>
      <x:c r="C29" s="12" t="str">
        <x:v>Minimum-history sensitivity with prior rate below 10%</x:v>
      </x:c>
      <x:c r="D29" s="12" t="str">
        <x:v>Minimum-history sensitivity with prior rate below 10%</x:v>
      </x:c>
      <x:c r="E29" s="12" t="str">
        <x:v>Minimum-history sensitivity with prior rate below 10%</x:v>
      </x:c>
      <x:c r="F29" s="12" t="str">
        <x:v>Minimum-history sensitivity with prior rate below 10%</x:v>
      </x:c>
      <x:c r="G29" s="12" t="str">
        <x:v>Minimum-history sensitivity with prior rate below 10%</x:v>
      </x:c>
    </x:row>
    <x:row r="30">
      <x:c r="A30" s="45" t="str">
        <x:v>Minimum prior resolved shifts</x:v>
      </x:c>
      <x:c r="B30" s="45" t="str">
        <x:v>Qualifying decisions</x:v>
      </x:c>
      <x:c r="C30" s="45" t="str">
        <x:v>Coverage</x:v>
      </x:c>
      <x:c r="D30" s="45" t="str">
        <x:v>Qualifying late cancellations</x:v>
      </x:c>
      <x:c r="E30" s="45" t="str">
        <x:v>Qualifying rate</x:v>
      </x:c>
      <x:c r="F30" s="45" t="str">
        <x:v>Other-group late cancellations</x:v>
      </x:c>
      <x:c r="G30" s="45" t="str">
        <x:v>Other rate</x:v>
      </x:c>
    </x:row>
    <x:row r="31">
      <x:c r="A31" s="26" t="n">
        <x:v>5</x:v>
      </x:c>
      <x:c r="B31" s="61" t="n">
        <x:v>759</x:v>
      </x:c>
      <x:c r="C31" s="79" t="n">
        <x:f>B31/$B$35</x:f>
        <x:v>0.4357060849598163</x:v>
      </x:c>
      <x:c r="D31" s="61" t="n">
        <x:v>61</x:v>
      </x:c>
      <x:c r="E31" s="79" t="n">
        <x:f>D31/B31</x:f>
        <x:v>0.08036890645586298</x:v>
      </x:c>
      <x:c r="F31" s="61" t="n">
        <x:v>164</x:v>
      </x:c>
      <x:c r="G31" s="63" t="n">
        <x:f>F31/($B$35-B31)</x:f>
        <x:v>0.16683621566632756</x:v>
      </x:c>
    </x:row>
    <x:row r="32">
      <x:c r="A32" s="91" t="n">
        <x:v>10</x:v>
      </x:c>
      <x:c r="B32" s="88" t="n">
        <x:v>589</x:v>
      </x:c>
      <x:c r="C32" s="89" t="n">
        <x:f>B32/$B$35</x:f>
        <x:v>0.3381171067738232</x:v>
      </x:c>
      <x:c r="D32" s="88" t="n">
        <x:v>44</x:v>
      </x:c>
      <x:c r="E32" s="89" t="n">
        <x:f>D32/B32</x:f>
        <x:v>0.07470288624787776</x:v>
      </x:c>
      <x:c r="F32" s="88" t="n">
        <x:v>181</x:v>
      </x:c>
      <x:c r="G32" s="89" t="n">
        <x:f>F32/($B$35-B32)</x:f>
        <x:v>0.1569817866435386</x:v>
      </x:c>
    </x:row>
    <x:row r="33">
      <x:c r="A33" s="30" t="n">
        <x:v>15</x:v>
      </x:c>
      <x:c r="B33" s="62" t="n">
        <x:v>482</x:v>
      </x:c>
      <x:c r="C33" s="81" t="n">
        <x:f>B33/$B$35</x:f>
        <x:v>0.2766934557979334</x:v>
      </x:c>
      <x:c r="D33" s="62" t="n">
        <x:v>38</x:v>
      </x:c>
      <x:c r="E33" s="81" t="n">
        <x:f>D33/B33</x:f>
        <x:v>0.07883817427385892</x:v>
      </x:c>
      <x:c r="F33" s="62" t="n">
        <x:v>187</x:v>
      </x:c>
      <x:c r="G33" s="64" t="n">
        <x:f>F33/($B$35-B33)</x:f>
        <x:v>0.1484126984126984</x:v>
      </x:c>
    </x:row>
    <x:row r="35">
      <x:c r="A35" s="99" t="str">
        <x:v>Target-window booking decisions</x:v>
      </x:c>
      <x:c r="B35" s="100" t="n">
        <x:v>1742</x:v>
      </x:c>
    </x:row>
  </x:sheetData>
  <x:mergeCells>
    <x:mergeCell ref="A1:G1"/>
    <x:mergeCell ref="A3:G3"/>
    <x:mergeCell ref="A5:G5"/>
    <x:mergeCell ref="A10:G10"/>
    <x:mergeCell ref="A16:G16"/>
    <x:mergeCell ref="A24:G24"/>
    <x:mergeCell ref="A29:G29"/>
  </x:mergeCells>
  <x:pageMargins left="0.7" right="0.7" top="0.75" bottom="0.75" header="0.3" footer="0.3"/>
  <x:pageSetup orientation="landscape" paperSize="9" fitToWidth="1" fitToHeight="1" horizontalDpi="300" verticalDpi="300"/>
  <x:printOptions gridLines="0"/>
</x:worksheet>
</file>

<file path=xl/worksheets/sheet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44" hidden="0" customWidth="1"/>
    <x:col min="2" max="2" width="22" hidden="0" customWidth="1"/>
    <x:col min="3" max="3" width="20" hidden="0" customWidth="1"/>
    <x:col min="4" max="4" width="14" hidden="0" customWidth="1"/>
    <x:col min="5" max="5" width="12" hidden="0" customWidth="1"/>
    <x:col min="6" max="6" width="12" hidden="0" customWidth="1"/>
  </x:cols>
  <x:sheetData>
    <x:row r="1" ht="30" customHeight="1">
      <x:c r="A1" s="4" t="str">
        <x:v>Calculations &amp; Reconciliation Checks</x:v>
      </x:c>
      <x:c r="B1" s="4" t="str">
        <x:v>Calculations &amp; Reconciliation Checks</x:v>
      </x:c>
      <x:c r="C1" s="4" t="str">
        <x:v>Calculations &amp; Reconciliation Checks</x:v>
      </x:c>
      <x:c r="D1" s="4" t="str">
        <x:v>Calculations &amp; Reconciliation Checks</x:v>
      </x:c>
      <x:c r="E1" s="4" t="str">
        <x:v>Calculations &amp; Reconciliation Checks</x:v>
      </x:c>
      <x:c r="F1" s="4" t="str">
        <x:v>Calculations &amp; Reconciliation Checks</x:v>
      </x:c>
    </x:row>
    <x:row r="3">
      <x:c r="A3" s="8" t="str">
        <x:v>PASS checks are formula-driven. They test arithmetic and scope consistency, not causal validity or data completeness.</x:v>
      </x:c>
      <x:c r="B3" s="8"/>
      <x:c r="C3" s="8"/>
      <x:c r="D3" s="8"/>
      <x:c r="E3" s="8"/>
      <x:c r="F3" s="8"/>
    </x:row>
    <x:row r="5">
      <x:c r="A5" s="45" t="str">
        <x:v>Check</x:v>
      </x:c>
      <x:c r="B5" s="45" t="str">
        <x:v>Formula-derived result</x:v>
      </x:c>
      <x:c r="C5" s="45" t="str">
        <x:v>Expected result</x:v>
      </x:c>
      <x:c r="D5" s="45" t="str">
        <x:v>Status</x:v>
      </x:c>
    </x:row>
    <x:row r="6">
      <x:c r="A6" s="26" t="str">
        <x:v>Baseline late-cancellation rate</x:v>
      </x:c>
      <x:c r="B6" s="79" t="n">
        <x:f>'Aggregate Evidence'!D7</x:f>
        <x:v>0.06057504873294347</x:v>
      </x:c>
      <x:c r="C6" s="79" t="n">
        <x:v>0.0606</x:v>
      </x:c>
      <x:c r="D6" s="27" t="str">
        <x:f>IF(ABS(B6-C6)&lt;0.00005,"PASS","CHECK")</x:f>
        <x:v>PASS</x:v>
      </x:c>
    </x:row>
    <x:row r="7">
      <x:c r="A7" s="28" t="str">
        <x:v>Baseline NCNS rate</x:v>
      </x:c>
      <x:c r="B7" s="80" t="n">
        <x:f>'Aggregate Evidence'!D8</x:f>
        <x:v>0.030531189083820662</x:v>
      </x:c>
      <x:c r="C7" s="80" t="n">
        <x:v>0.0305</x:v>
      </x:c>
      <x:c r="D7" s="29" t="str">
        <x:f>IF(ABS(B7-C7)&lt;0.00005,"PASS","CHECK")</x:f>
        <x:v>PASS</x:v>
      </x:c>
    </x:row>
    <x:row r="8">
      <x:c r="A8" s="28" t="str">
        <x:v>Outcome-overlap total</x:v>
      </x:c>
      <x:c r="B8" s="69" t="n">
        <x:f>'Aggregate Evidence'!D14</x:f>
        <x:v>41040</x:v>
      </x:c>
      <x:c r="C8" s="69" t="n">
        <x:v>41040</x:v>
      </x:c>
      <x:c r="D8" s="29" t="str">
        <x:f>IF(B8=C8,"PASS","CHECK")</x:f>
        <x:v>PASS</x:v>
      </x:c>
    </x:row>
    <x:row r="9">
      <x:c r="A9" s="28" t="str">
        <x:v>First-booking target-window rate</x:v>
      </x:c>
      <x:c r="B9" s="80" t="n">
        <x:f>'Aggregate Evidence'!D19</x:f>
        <x:v>0.1362126245847176</x:v>
      </x:c>
      <x:c r="C9" s="80" t="n">
        <x:v>0.1362</x:v>
      </x:c>
      <x:c r="D9" s="29" t="str">
        <x:f>IF(ABS(B9-C9)&lt;0.00005,"PASS","CHECK")</x:f>
        <x:v>PASS</x:v>
      </x:c>
    </x:row>
    <x:row r="10">
      <x:c r="A10" s="28" t="str">
        <x:v>One-booking target-window rate</x:v>
      </x:c>
      <x:c r="B10" s="80" t="n">
        <x:f>'Aggregate Evidence'!G19</x:f>
        <x:v>0.11422564821303434</x:v>
      </x:c>
      <x:c r="C10" s="80" t="n">
        <x:v>0.1142</x:v>
      </x:c>
      <x:c r="D10" s="29" t="str">
        <x:f>IF(ABS(B10-C10)&lt;0.00005,"PASS","CHECK")</x:f>
        <x:v>PASS</x:v>
      </x:c>
    </x:row>
    <x:row r="11">
      <x:c r="A11" s="28" t="str">
        <x:v>Qualifying-group rate</x:v>
      </x:c>
      <x:c r="B11" s="80" t="n">
        <x:f>'Aggregate Evidence'!D26</x:f>
        <x:v>0.07470288624787776</x:v>
      </x:c>
      <x:c r="C11" s="80" t="n">
        <x:v>0.0747</x:v>
      </x:c>
      <x:c r="D11" s="29" t="str">
        <x:f>IF(ABS(B11-C11)&lt;0.00005,"PASS","CHECK")</x:f>
        <x:v>PASS</x:v>
      </x:c>
    </x:row>
    <x:row r="12">
      <x:c r="A12" s="30" t="str">
        <x:v>Target-window decision count</x:v>
      </x:c>
      <x:c r="B12" s="62" t="n">
        <x:f>'Aggregate Evidence'!B35</x:f>
        <x:v>1742</x:v>
      </x:c>
      <x:c r="C12" s="62" t="n">
        <x:v>1742</x:v>
      </x:c>
      <x:c r="D12" s="31" t="str">
        <x:f>IF(B12=C12,"PASS","CHECK")</x:f>
        <x:v>PASS</x:v>
      </x:c>
    </x:row>
    <x:row r="15" ht="22" customHeight="1">
      <x:c r="A15" s="12" t="str">
        <x:v>Scope reconciliations</x:v>
      </x:c>
      <x:c r="B15" s="12" t="str">
        <x:v>Scope reconciliations</x:v>
      </x:c>
      <x:c r="C15" s="12" t="str">
        <x:v>Scope reconciliations</x:v>
      </x:c>
      <x:c r="D15" s="12" t="str">
        <x:v>Scope reconciliations</x:v>
      </x:c>
      <x:c r="E15" s="12" t="str">
        <x:v>Scope reconciliations</x:v>
      </x:c>
      <x:c r="F15" s="12" t="str">
        <x:v>Scope reconciliations</x:v>
      </x:c>
    </x:row>
    <x:row r="16">
      <x:c r="A16" s="45" t="str">
        <x:v>Check</x:v>
      </x:c>
      <x:c r="B16" s="45" t="str">
        <x:v>Formula-derived result</x:v>
      </x:c>
      <x:c r="C16" s="45" t="str">
        <x:v>Expected result</x:v>
      </x:c>
      <x:c r="D16" s="45" t="str">
        <x:v>Status</x:v>
      </x:c>
    </x:row>
    <x:row r="17">
      <x:c r="A17" s="26" t="str">
        <x:v>First-booking timing-band shifts</x:v>
      </x:c>
      <x:c r="B17" s="61" t="n">
        <x:f>SUM('Aggregate Evidence'!B18:B22)</x:f>
        <x:v>9290</x:v>
      </x:c>
      <x:c r="C17" s="61" t="n">
        <x:v>9290</x:v>
      </x:c>
      <x:c r="D17" s="27" t="str">
        <x:f>IF(B17=C17,"PASS","CHECK")</x:f>
        <x:v>PASS</x:v>
      </x:c>
    </x:row>
    <x:row r="18">
      <x:c r="A18" s="28" t="str">
        <x:v>One-booking timing-band shifts</x:v>
      </x:c>
      <x:c r="B18" s="69" t="n">
        <x:f>SUM('Aggregate Evidence'!E18:E22)</x:f>
        <x:v>7779</x:v>
      </x:c>
      <x:c r="C18" s="69" t="n">
        <x:v>7779</x:v>
      </x:c>
      <x:c r="D18" s="29" t="str">
        <x:f>IF(B18=C18,"PASS","CHECK")</x:f>
        <x:v>PASS</x:v>
      </x:c>
    </x:row>
    <x:row r="19">
      <x:c r="A19" s="28" t="str">
        <x:v>Qualifying + other target-window decisions</x:v>
      </x:c>
      <x:c r="B19" s="69" t="n">
        <x:f>SUM('Aggregate Evidence'!B26:B27)</x:f>
        <x:v>1742</x:v>
      </x:c>
      <x:c r="C19" s="69" t="n">
        <x:v>1742</x:v>
      </x:c>
      <x:c r="D19" s="29" t="str">
        <x:f>IF(B19=C19,"PASS","CHECK")</x:f>
        <x:v>PASS</x:v>
      </x:c>
    </x:row>
    <x:row r="20">
      <x:c r="A20" s="30" t="str">
        <x:v>Qualifying + other target-window late cancellations</x:v>
      </x:c>
      <x:c r="B20" s="62" t="n">
        <x:f>SUM('Aggregate Evidence'!C26:C27)</x:f>
        <x:v>225</x:v>
      </x:c>
      <x:c r="C20" s="62" t="n">
        <x:v>225</x:v>
      </x:c>
      <x:c r="D20" s="31" t="str">
        <x:f>IF(B20=C20,"PASS","CHECK")</x:f>
        <x:v>PASS</x:v>
      </x:c>
    </x:row>
    <x:row r="23" ht="22" customHeight="1">
      <x:c r="A23" s="12" t="str">
        <x:v>Formula trail</x:v>
      </x:c>
      <x:c r="B23" s="12" t="str">
        <x:v>Formula trail</x:v>
      </x:c>
      <x:c r="C23" s="12" t="str">
        <x:v>Formula trail</x:v>
      </x:c>
      <x:c r="D23" s="12" t="str">
        <x:v>Formula trail</x:v>
      </x:c>
      <x:c r="E23" s="12" t="str">
        <x:v>Formula trail</x:v>
      </x:c>
      <x:c r="F23" s="12" t="str">
        <x:v>Formula trail</x:v>
      </x:c>
    </x:row>
    <x:row r="24" ht="20" customHeight="1">
      <x:c r="A24" s="8" t="str">
        <x:v>Examples: the first-booking target rate is calculated as 205 / 1,505; the one-booking target rate is calculated as 163 / 1,427; the qualifying-group rate is calculated as 44 / 589; and the other-group rate is calculated as 181 / (1,742 - 589). The formulas are visible in Aggregate Evidence and reference displayed aggregate inputs.</x:v>
      </x:c>
      <x:c r="B24" s="8"/>
      <x:c r="C24" s="8"/>
      <x:c r="D24" s="8"/>
      <x:c r="E24" s="8"/>
      <x:c r="F24" s="8"/>
    </x:row>
    <x:row r="25" ht="20" customHeight="1">
      <x:c r="A25" s="8"/>
      <x:c r="B25" s="8"/>
      <x:c r="C25" s="8"/>
      <x:c r="D25" s="8"/>
      <x:c r="E25" s="8"/>
      <x:c r="F25" s="8"/>
    </x:row>
    <x:row r="26" ht="20" customHeight="1">
      <x:c r="A26" s="8"/>
      <x:c r="B26" s="8"/>
      <x:c r="C26" s="8"/>
      <x:c r="D26" s="8"/>
      <x:c r="E26" s="8"/>
      <x:c r="F26" s="8"/>
    </x:row>
    <x:row r="27" ht="20" customHeight="1">
      <x:c r="A27" s="8"/>
      <x:c r="B27" s="8"/>
      <x:c r="C27" s="8"/>
      <x:c r="D27" s="8"/>
      <x:c r="E27" s="8"/>
      <x:c r="F27" s="8"/>
    </x:row>
  </x:sheetData>
  <x:mergeCells>
    <x:mergeCell ref="A1:F1"/>
    <x:mergeCell ref="A3:F3"/>
    <x:mergeCell ref="A15:F15"/>
    <x:mergeCell ref="A23:F23"/>
    <x:mergeCell ref="A24:F27"/>
  </x:mergeCells>
  <x:conditionalFormatting sqref="D6:D12">
    <x:cfRule type="containsText" dxfId="0" priority="1" operator="containsText" text="PASS"/>
    <x:cfRule type="containsText" dxfId="1" priority="2" operator="containsText" text="CHECK"/>
  </x:conditionalFormatting>
  <x:conditionalFormatting sqref="D17:D20">
    <x:cfRule type="containsText" dxfId="2" priority="3" operator="containsText" text="PASS"/>
    <x:cfRule type="containsText" dxfId="3" priority="4" operator="containsText" text="CHECK"/>
  </x:conditionalFormatting>
  <x:pageMargins left="0.7" right="0.7" top="0.75" bottom="0.75" header="0.3" footer="0.3"/>
  <x:pageSetup orientation="landscape" paperSize="9" fitToWidth="1" fitToHeight="1" horizontalDpi="300" verticalDpi="300"/>
  <x:printOptions gridLines="0"/>
</x:worksheet>
</file>

<file path=xl/worksheets/sheet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9" hidden="0" customWidth="1"/>
    <x:col min="2" max="2" width="74" hidden="0" customWidth="1"/>
    <x:col min="3" max="3" width="34" hidden="0" customWidth="1"/>
    <x:col min="4" max="4" width="54" hidden="0" customWidth="1"/>
    <x:col min="5" max="5" width="12" hidden="0" customWidth="1"/>
    <x:col min="6" max="6" width="12" hidden="0" customWidth="1"/>
  </x:cols>
  <x:sheetData>
    <x:row r="1" ht="30" customHeight="1">
      <x:c r="A1" s="4" t="str">
        <x:v>Methodology, Data Dictionary &amp; Disclosure</x:v>
      </x:c>
      <x:c r="B1" s="4" t="str">
        <x:v>Methodology, Data Dictionary &amp; Disclosure</x:v>
      </x:c>
      <x:c r="C1" s="4" t="str">
        <x:v>Methodology, Data Dictionary &amp; Disclosure</x:v>
      </x:c>
      <x:c r="D1" s="4" t="str">
        <x:v>Methodology, Data Dictionary &amp; Disclosure</x:v>
      </x:c>
      <x:c r="E1" s="4" t="str">
        <x:v>Methodology, Data Dictionary &amp; Disclosure</x:v>
      </x:c>
      <x:c r="F1" s="4" t="str">
        <x:v>Methodology, Data Dictionary &amp; Disclosure</x:v>
      </x:c>
    </x:row>
    <x:row r="3" ht="22" customHeight="1">
      <x:c r="A3" s="12" t="str">
        <x:v>Public calculation rule</x:v>
      </x:c>
      <x:c r="B3" s="12" t="str">
        <x:v>Public calculation rule</x:v>
      </x:c>
      <x:c r="C3" s="12" t="str">
        <x:v>Public calculation rule</x:v>
      </x:c>
      <x:c r="D3" s="12" t="str">
        <x:v>Public calculation rule</x:v>
      </x:c>
      <x:c r="E3" s="12" t="str">
        <x:v>Public calculation rule</x:v>
      </x:c>
      <x:c r="F3" s="12" t="str">
        <x:v>Public calculation rule</x:v>
      </x:c>
    </x:row>
    <x:row r="4" ht="22" customHeight="1">
      <x:c r="A4" s="8" t="str">
        <x:v>Public calculations use aggregate evidence derived from the 41,040-shift Metro A analysis population. The supplied source and cleaned rows are withheld because redistribution permission was not provided. The workbook is designed to reproduce published arithmetic, not the private ETL pipeline.</x:v>
      </x:c>
      <x:c r="B4" s="8"/>
      <x:c r="C4" s="8"/>
      <x:c r="D4" s="8"/>
      <x:c r="E4" s="8"/>
      <x:c r="F4" s="8"/>
    </x:row>
    <x:row r="5" ht="22" customHeight="1">
      <x:c r="A5" s="8"/>
      <x:c r="B5" s="8"/>
      <x:c r="C5" s="8"/>
      <x:c r="D5" s="8"/>
      <x:c r="E5" s="8"/>
      <x:c r="F5" s="8"/>
    </x:row>
    <x:row r="6" ht="22" customHeight="1">
      <x:c r="A6" s="8"/>
      <x:c r="B6" s="8"/>
      <x:c r="C6" s="8"/>
      <x:c r="D6" s="8"/>
      <x:c r="E6" s="8"/>
      <x:c r="F6" s="8"/>
    </x:row>
    <x:row r="8" ht="22" customHeight="1">
      <x:c r="A8" s="12" t="str">
        <x:v>Key definitions</x:v>
      </x:c>
      <x:c r="B8" s="12" t="str">
        <x:v>Key definitions</x:v>
      </x:c>
      <x:c r="C8" s="12" t="str">
        <x:v>Key definitions</x:v>
      </x:c>
      <x:c r="D8" s="12" t="str">
        <x:v>Key definitions</x:v>
      </x:c>
      <x:c r="E8" s="12" t="str">
        <x:v>Key definitions</x:v>
      </x:c>
      <x:c r="F8" s="12" t="str">
        <x:v>Key definitions</x:v>
      </x:c>
    </x:row>
    <x:row r="9">
      <x:c r="A9" s="45" t="str">
        <x:v>Term</x:v>
      </x:c>
      <x:c r="B9" s="45" t="str">
        <x:v>Definition</x:v>
      </x:c>
      <x:c r="C9" s="45" t="str">
        <x:v>Public treatment</x:v>
      </x:c>
    </x:row>
    <x:row r="10">
      <x:c r="A10" s="26" t="str">
        <x:v>Late cancellation</x:v>
      </x:c>
      <x:c r="B10" s="50" t="str">
        <x:v>Healthcare-professional cancellation recorded less than 24 hours before scheduled shift start.</x:v>
      </x:c>
      <x:c r="C10" s="27" t="str">
        <x:v>Primary historical outcome and proposed pilot metric.</x:v>
      </x:c>
    </x:row>
    <x:row r="11">
      <x:c r="A11" s="28" t="str">
        <x:v>NCNS</x:v>
      </x:c>
      <x:c r="B11" s="67" t="str">
        <x:v>No-call/no-show; a separate logged outcome from late cancellation.</x:v>
      </x:c>
      <x:c r="C11" s="29" t="str">
        <x:v>Pilot guardrail.</x:v>
      </x:c>
    </x:row>
    <x:row r="12">
      <x:c r="A12" s="28" t="str">
        <x:v>Booking lead time</x:v>
      </x:c>
      <x:c r="B12" s="67" t="str">
        <x:v>Supplied time from a booking action to scheduled start.</x:v>
      </x:c>
      <x:c r="C12" s="29" t="str">
        <x:v>Used for retained timing comparisons.</x:v>
      </x:c>
    </x:row>
    <x:row r="13">
      <x:c r="A13" s="30" t="str">
        <x:v>Cancellation lead time</x:v>
      </x:c>
      <x:c r="B13" s="51" t="str">
        <x:v>Supplied time from a cancellation action to scheduled start.</x:v>
      </x:c>
      <x:c r="C13" s="31" t="str">
        <x:v>Distinct from booking lead time.</x:v>
      </x:c>
    </x:row>
    <x:row r="15" ht="22" customHeight="1">
      <x:c r="A15" s="12" t="str">
        <x:v>Public data dictionary</x:v>
      </x:c>
      <x:c r="B15" s="12" t="str">
        <x:v>Public data dictionary</x:v>
      </x:c>
      <x:c r="C15" s="12" t="str">
        <x:v>Public data dictionary</x:v>
      </x:c>
      <x:c r="D15" s="12" t="str">
        <x:v>Public data dictionary</x:v>
      </x:c>
      <x:c r="E15" s="12" t="str">
        <x:v>Public data dictionary</x:v>
      </x:c>
      <x:c r="F15" s="12" t="str">
        <x:v>Public data dictionary</x:v>
      </x:c>
    </x:row>
    <x:row r="16">
      <x:c r="A16" s="45" t="str">
        <x:v>Logical table</x:v>
      </x:c>
      <x:c r="B16" s="45" t="str">
        <x:v>Grain</x:v>
      </x:c>
      <x:c r="C16" s="45" t="str">
        <x:v>Candidate key</x:v>
      </x:c>
      <x:c r="D16" s="45" t="str">
        <x:v>Public relationship note</x:v>
      </x:c>
    </x:row>
    <x:row r="17">
      <x:c r="A17" s="26" t="str">
        <x:v>Shift log</x:v>
      </x:c>
      <x:c r="B17" s="50" t="str">
        <x:v>One posted shift</x:v>
      </x:c>
      <x:c r="C17" s="50" t="str">
        <x:v>Shift ID</x:v>
      </x:c>
      <x:c r="D17" s="27" t="str">
        <x:v>Defines the 41,040-shift Metro A analysis population.</x:v>
      </x:c>
    </x:row>
    <x:row r="18">
      <x:c r="A18" s="28" t="str">
        <x:v>Booking-event log</x:v>
      </x:c>
      <x:c r="B18" s="67" t="str">
        <x:v>One booking action</x:v>
      </x:c>
      <x:c r="C18" s="67" t="str">
        <x:v>Action ID</x:v>
      </x:c>
      <x:c r="D18" s="29" t="str">
        <x:v>Links to a shift through Shift ID; covers a broader Shift ID population.</x:v>
      </x:c>
    </x:row>
    <x:row r="19">
      <x:c r="A19" s="30" t="str">
        <x:v>Cancellation-event log</x:v>
      </x:c>
      <x:c r="B19" s="51" t="str">
        <x:v>One cancellation or NCNS action</x:v>
      </x:c>
      <x:c r="C19" s="51" t="str">
        <x:v>Action ID</x:v>
      </x:c>
      <x:c r="D19" s="31" t="str">
        <x:v>Links to a shift through Shift ID; covers a broader Shift ID population.</x:v>
      </x:c>
    </x:row>
    <x:row r="21" ht="22" customHeight="1">
      <x:c r="A21" s="12" t="str">
        <x:v>Scope and limitations</x:v>
      </x:c>
      <x:c r="B21" s="12" t="str">
        <x:v>Scope and limitations</x:v>
      </x:c>
      <x:c r="C21" s="12" t="str">
        <x:v>Scope and limitations</x:v>
      </x:c>
      <x:c r="D21" s="12" t="str">
        <x:v>Scope and limitations</x:v>
      </x:c>
      <x:c r="E21" s="12" t="str">
        <x:v>Scope and limitations</x:v>
      </x:c>
      <x:c r="F21" s="12" t="str">
        <x:v>Scope and limitations</x:v>
      </x:c>
    </x:row>
    <x:row r="22">
      <x:c r="A22" s="45" t="str">
        <x:v>Item</x:v>
      </x:c>
      <x:c r="B22" s="45" t="str">
        <x:v>Disclosure</x:v>
      </x:c>
    </x:row>
    <x:row r="23">
      <x:c r="A23" s="26" t="str">
        <x:v>Event-log scope</x:v>
      </x:c>
      <x:c r="B23" s="27" t="str">
        <x:v>Booking and cancellation event logs cover Shift IDs beyond the shift-log analysis population.</x:v>
      </x:c>
    </x:row>
    <x:row r="24">
      <x:c r="A24" s="28" t="str">
        <x:v>Multiple events</x:v>
      </x:c>
      <x:c r="B24" s="29" t="str">
        <x:v>A Shift ID can have multiple booking and cancellation events; published shift-level rates aggregate matching events to one Shift ID.</x:v>
      </x:c>
    </x:row>
    <x:row r="25">
      <x:c r="A25" s="28" t="str">
        <x:v>Timing exceptions</x:v>
      </x:c>
      <x:c r="B25" s="29" t="str">
        <x:v>The retained timing analyses exclude negative supplied booking lead times. One analysis-population shift has a missing scheduled start where that field is required.</x:v>
      </x:c>
    </x:row>
    <x:row r="26">
      <x:c r="A26" s="30" t="str">
        <x:v>Causal interpretation</x:v>
      </x:c>
      <x:c r="B26" s="31" t="str">
        <x:v>The comparisons are descriptive and observational. The 16-week randomized pilot is needed to evaluate causal impact.</x:v>
      </x:c>
    </x:row>
    <x:row r="28" ht="22" customHeight="1">
      <x:c r="A28" s="8" t="str">
        <x:v>For complete public field definitions, including column names and data types, read data/source-schema.md. The portfolio uses MarketplaceCo for the company alias and Metro A for the market alias.</x:v>
      </x:c>
      <x:c r="B28" s="8"/>
      <x:c r="C28" s="8"/>
      <x:c r="D28" s="8"/>
      <x:c r="E28" s="8"/>
      <x:c r="F28" s="8"/>
    </x:row>
    <x:row r="29" ht="22" customHeight="1">
      <x:c r="A29" s="8"/>
      <x:c r="B29" s="8"/>
      <x:c r="C29" s="8"/>
      <x:c r="D29" s="8"/>
      <x:c r="E29" s="8"/>
      <x:c r="F29" s="8"/>
    </x:row>
    <x:row r="30" ht="22" customHeight="1">
      <x:c r="A30" s="8"/>
      <x:c r="B30" s="8"/>
      <x:c r="C30" s="8"/>
      <x:c r="D30" s="8"/>
      <x:c r="E30" s="8"/>
      <x:c r="F30" s="8"/>
    </x:row>
  </x:sheetData>
  <x:mergeCells>
    <x:mergeCell ref="A1:F1"/>
    <x:mergeCell ref="A3:F3"/>
    <x:mergeCell ref="A4:F6"/>
    <x:mergeCell ref="A8:F8"/>
    <x:mergeCell ref="A15:F15"/>
    <x:mergeCell ref="A21:F21"/>
    <x:mergeCell ref="A28:F30"/>
  </x:mergeCells>
  <x:pageMargins left="0.7" right="0.7" top="0.75" bottom="0.75" header="0.3" footer="0.3"/>
  <x:pageSetup orientation="landscape" paperSize="9" fitToWidth="1" fitToHeight="1" horizontalDpi="300" verticalDpi="300"/>
  <x:printOptions gridLines="0"/>
</x:worksheet>
</file>
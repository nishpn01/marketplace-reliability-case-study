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5.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drawings/charts/chart4.xml" ContentType="application/vnd.openxmlformats-officedocument.drawingml.char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37489570b7a4d81" /></Relationships>
</file>

<file path=xl/workbook.xml><?xml version="1.0" encoding="utf-8"?>
<x:workbook xmlns:x="http://schemas.openxmlformats.org/spreadsheetml/2006/main">
  <x:sheets>
    <x:sheet xmlns:r="http://schemas.openxmlformats.org/officeDocument/2006/relationships" name="00 Portfolio Summary" sheetId="1" r:id="Rbefeb98dd8b445d6"/>
    <x:sheet xmlns:r="http://schemas.openxmlformats.org/officeDocument/2006/relationships" name="01 Data Preparation" sheetId="2" r:id="R05b33dcf4e5c4ecd"/>
    <x:sheet xmlns:r="http://schemas.openxmlformats.org/officeDocument/2006/relationships" name="02 Explorer Tables" sheetId="3" r:id="R2eb946e74e874551"/>
    <x:sheet xmlns:r="http://schemas.openxmlformats.org/officeDocument/2006/relationships" name="03 Timing Analysis" sheetId="4" r:id="Rfa734326a7e5496f"/>
    <x:sheet xmlns:r="http://schemas.openxmlformats.org/officeDocument/2006/relationships" name="04 Pilot Rule" sheetId="5" r:id="R4125c63ccee04d2b"/>
    <x:sheet xmlns:r="http://schemas.openxmlformats.org/officeDocument/2006/relationships" name="05 Analysis Path" sheetId="6" r:id="Reeb680fb04184705"/>
    <x:sheet xmlns:r="http://schemas.openxmlformats.org/officeDocument/2006/relationships" name="06 Checks" sheetId="7" r:id="Rcc121d6ca1744e7f"/>
    <x:sheet xmlns:r="http://schemas.openxmlformats.org/officeDocument/2006/relationships" name="07 Methodology &amp; Dictionary" sheetId="8" r:id="R2e7f166b37cd46e2"/>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
    <x:numFmt numFmtId="202" formatCode="0%"/>
  </x:numFmts>
  <x:fonts count="12">
    <x:font>
      <x:sz val="11"/>
      <x:name val="Carlito"/>
    </x:font>
    <x:font>
      <x:b/>
      <x:sz val="18"/>
      <x:color rgb="FFFFFFFF"/>
      <x:name val="Aptos Display"/>
    </x:font>
    <x:font>
      <x:sz val="10"/>
      <x:color rgb="FF637078"/>
      <x:name val="Aptos"/>
    </x:font>
    <x:font>
      <x:b/>
      <x:sz val="9"/>
      <x:color rgb="FF637078"/>
      <x:name val="Aptos"/>
    </x:font>
    <x:font>
      <x:b/>
      <x:sz val="22"/>
      <x:color rgb="FF5B2333"/>
      <x:name val="Aptos Display"/>
    </x:font>
    <x:font>
      <x:b/>
      <x:sz val="11"/>
      <x:color rgb="FF5B2333"/>
      <x:name val="Aptos"/>
    </x:font>
    <x:font>
      <x:sz val="10"/>
      <x:color rgb="FF273238"/>
      <x:name val="Aptos"/>
    </x:font>
    <x:font>
      <x:b/>
      <x:sz val="10"/>
      <x:color rgb="FF5B2333"/>
      <x:name val="Aptos"/>
    </x:font>
    <x:font>
      <x:b/>
      <x:sz val="10"/>
      <x:color rgb="FFFFFFFF"/>
      <x:name val="Aptos"/>
    </x:font>
    <x:font>
      <x:i/>
      <x:sz val="10"/>
      <x:color rgb="FF637078"/>
      <x:name val="Aptos"/>
    </x:font>
    <x:font>
      <x:b/>
      <x:sz val="10"/>
      <x:color rgb="FF24613B"/>
      <x:name val="Aptos"/>
    </x:font>
    <x:font>
      <x:b/>
      <x:sz val="10"/>
      <x:color rgb="FF273238"/>
      <x:name val="Aptos"/>
    </x:font>
  </x:fonts>
  <x:fills count="9">
    <x:fill>
      <x:patternFill patternType="none"/>
    </x:fill>
    <x:fill>
      <x:patternFill patternType="gray125"/>
    </x:fill>
    <x:fill>
      <x:patternFill patternType="solid">
        <x:fgColor rgb="FF5B2333"/>
      </x:patternFill>
    </x:fill>
    <x:fill>
      <x:patternFill patternType="solid">
        <x:fgColor rgb="FFF7F3EC"/>
      </x:patternFill>
    </x:fill>
    <x:fill>
      <x:patternFill patternType="solid">
        <x:fgColor rgb="FFEEF1F3"/>
      </x:patternFill>
    </x:fill>
    <x:fill>
      <x:patternFill patternType="solid">
        <x:fgColor rgb="FFFFFFFF"/>
      </x:patternFill>
    </x:fill>
    <x:fill>
      <x:patternFill patternType="solid">
        <x:fgColor rgb="FFF7E5EB"/>
      </x:patternFill>
    </x:fill>
    <x:fill>
      <x:patternFill patternType="solid">
        <x:fgColor rgb="FF273238"/>
      </x:patternFill>
    </x:fill>
    <x:fill>
      <x:patternFill patternType="solid">
        <x:fgColor rgb="FFE6F2EC"/>
      </x:patternFill>
    </x:fill>
  </x:fills>
  <x:borders count="14">
    <x:border/>
    <x:border>
      <x:left style="thin">
        <x:color rgb="FFD6D9DC"/>
      </x:left>
      <x:top style="thin">
        <x:color rgb="FFD6D9DC"/>
      </x:top>
      <x:bottom style="thin">
        <x:color rgb="FFD6D9DC"/>
      </x:bottom>
    </x:border>
    <x:border>
      <x:top style="thin">
        <x:color rgb="FFD6D9DC"/>
      </x:top>
      <x:bottom style="thin">
        <x:color rgb="FFD6D9DC"/>
      </x:bottom>
    </x:border>
    <x:border>
      <x:right style="thin">
        <x:color rgb="FFD6D9DC"/>
      </x:right>
      <x:top style="thin">
        <x:color rgb="FFD6D9DC"/>
      </x:top>
      <x:bottom style="thin">
        <x:color rgb="FFD6D9DC"/>
      </x:bottom>
    </x:border>
    <x:border>
      <x:left style="thin">
        <x:color rgb="FFD6D9DC"/>
      </x:left>
      <x:top style="thin">
        <x:color rgb="FFD6D9DC"/>
      </x:top>
    </x:border>
    <x:border>
      <x:top style="thin">
        <x:color rgb="FFD6D9DC"/>
      </x:top>
    </x:border>
    <x:border>
      <x:right style="thin">
        <x:color rgb="FFD6D9DC"/>
      </x:right>
      <x:top style="thin">
        <x:color rgb="FFD6D9DC"/>
      </x:top>
    </x:border>
    <x:border>
      <x:left style="thin">
        <x:color rgb="FFD6D9DC"/>
      </x:left>
      <x:bottom style="thin">
        <x:color rgb="FFD6D9DC"/>
      </x:bottom>
    </x:border>
    <x:border>
      <x:bottom style="thin">
        <x:color rgb="FFD6D9DC"/>
      </x:bottom>
    </x:border>
    <x:border>
      <x:right style="thin">
        <x:color rgb="FFD6D9DC"/>
      </x:right>
      <x:bottom style="thin">
        <x:color rgb="FFD6D9DC"/>
      </x:bottom>
    </x:border>
    <x:border>
      <x:left style="thin">
        <x:color rgb="FFD6D9DC"/>
      </x:left>
      <x:right style="thin">
        <x:color rgb="FFD6D9DC"/>
      </x:right>
      <x:top style="thin">
        <x:color rgb="FFD6D9DC"/>
      </x:top>
      <x:bottom style="thin">
        <x:color rgb="FFD6D9DC"/>
      </x:bottom>
    </x:border>
    <x:border>
      <x:left style="thin">
        <x:color rgb="FFC93C68"/>
      </x:left>
      <x:right style="thin">
        <x:color rgb="FFC93C68"/>
      </x:right>
      <x:top style="thin">
        <x:color rgb="FFC93C68"/>
      </x:top>
      <x:bottom style="thin">
        <x:color rgb="FFC93C68"/>
      </x:bottom>
    </x:border>
    <x:border>
      <x:left style="thin">
        <x:color rgb="FFD6D9DC"/>
      </x:left>
    </x:border>
    <x:border>
      <x:right style="thin">
        <x:color rgb="FFD6D9DC"/>
      </x:right>
    </x:border>
  </x:borders>
  <x:cellStyleXfs count="1">
    <x:xf numFmtId="0" fontId="0" fillId="0" borderId="0"/>
  </x:cellStyleXfs>
  <x:cellXfs count="14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4"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8" xfId="0" applyNumberFormat="1" applyFont="1" applyFill="1" applyBorder="1"/>
    <x:xf numFmtId="0" fontId="4" fillId="5" borderId="9" xfId="0" applyNumberFormat="1" applyFont="1" applyFill="1" applyBorder="1"/>
    <x:xf numFmtId="0" fontId="4" fillId="5" borderId="4" xfId="0" applyNumberFormat="1" applyFont="1" applyFill="1" applyBorder="1" applyAlignment="1">
      <x:alignment horizontal="center"/>
    </x:xf>
    <x:xf numFmtId="0" fontId="4" fillId="5" borderId="5" xfId="0" applyNumberFormat="1" applyFont="1" applyFill="1" applyBorder="1" applyAlignment="1">
      <x:alignment horizontal="center"/>
    </x:xf>
    <x:xf numFmtId="0" fontId="4" fillId="5" borderId="6" xfId="0" applyNumberFormat="1" applyFont="1" applyFill="1" applyBorder="1" applyAlignment="1">
      <x:alignment horizontal="center"/>
    </x:xf>
    <x:xf numFmtId="0" fontId="4" fillId="5" borderId="7" xfId="0" applyNumberFormat="1" applyFont="1" applyFill="1" applyBorder="1" applyAlignment="1">
      <x:alignment horizontal="center"/>
    </x:xf>
    <x:xf numFmtId="0" fontId="4" fillId="5" borderId="8" xfId="0" applyNumberFormat="1" applyFont="1" applyFill="1" applyBorder="1" applyAlignment="1">
      <x:alignment horizontal="center"/>
    </x:xf>
    <x:xf numFmtId="0" fontId="4" fillId="5" borderId="9" xfId="0" applyNumberFormat="1" applyFont="1" applyFill="1" applyBorder="1" applyAlignment="1">
      <x:alignment horizontal="center"/>
    </x:xf>
    <x:xf numFmtId="0" fontId="4" fillId="5" borderId="4" xfId="0" applyNumberFormat="1" applyFont="1" applyFill="1" applyBorder="1" applyAlignment="1">
      <x:alignment horizontal="center" vertical="center"/>
    </x:xf>
    <x:xf numFmtId="0" fontId="4" fillId="5" borderId="5" xfId="0" applyNumberFormat="1" applyFont="1" applyFill="1" applyBorder="1" applyAlignment="1">
      <x:alignment horizontal="center" vertical="center"/>
    </x:xf>
    <x:xf numFmtId="0" fontId="4" fillId="5" borderId="6" xfId="0" applyNumberFormat="1" applyFont="1" applyFill="1" applyBorder="1" applyAlignment="1">
      <x:alignment horizontal="center" vertical="center"/>
    </x:xf>
    <x:xf numFmtId="0" fontId="4" fillId="5" borderId="7" xfId="0" applyNumberFormat="1" applyFont="1" applyFill="1" applyBorder="1" applyAlignment="1">
      <x:alignment horizontal="center" vertical="center"/>
    </x:xf>
    <x:xf numFmtId="0" fontId="4" fillId="5" borderId="8" xfId="0" applyNumberFormat="1" applyFont="1" applyFill="1" applyBorder="1" applyAlignment="1">
      <x:alignment horizontal="center" vertical="center"/>
    </x:xf>
    <x:xf numFmtId="0" fontId="4" fillId="5" borderId="9" xfId="0" applyNumberFormat="1" applyFont="1" applyFill="1" applyBorder="1" applyAlignment="1">
      <x:alignment horizontal="center" vertical="center"/>
    </x:xf>
    <x:xf numFmtId="200" fontId="4" fillId="5" borderId="4" xfId="0" applyNumberFormat="1" applyFont="1" applyFill="1" applyBorder="1" applyAlignment="1">
      <x:alignment horizontal="center" vertical="center"/>
    </x:xf>
    <x:xf numFmtId="200" fontId="4" fillId="5" borderId="5" xfId="0" applyNumberFormat="1" applyFont="1" applyFill="1" applyBorder="1" applyAlignment="1">
      <x:alignment horizontal="center" vertical="center"/>
    </x:xf>
    <x:xf numFmtId="200" fontId="4" fillId="5" borderId="6" xfId="0" applyNumberFormat="1" applyFont="1" applyFill="1" applyBorder="1" applyAlignment="1">
      <x:alignment horizontal="center" vertical="center"/>
    </x:xf>
    <x:xf numFmtId="200" fontId="4" fillId="5" borderId="7" xfId="0" applyNumberFormat="1" applyFont="1" applyFill="1" applyBorder="1" applyAlignment="1">
      <x:alignment horizontal="center" vertical="center"/>
    </x:xf>
    <x:xf numFmtId="200" fontId="4" fillId="5" borderId="8" xfId="0" applyNumberFormat="1" applyFont="1" applyFill="1" applyBorder="1" applyAlignment="1">
      <x:alignment horizontal="center" vertical="center"/>
    </x:xf>
    <x:xf numFmtId="200" fontId="4" fillId="5" borderId="9" xfId="0" applyNumberFormat="1" applyFont="1" applyFill="1" applyBorder="1" applyAlignment="1">
      <x:alignment horizontal="center" vertical="center"/>
    </x:xf>
    <x:xf numFmtId="201" fontId="4" fillId="5" borderId="4" xfId="0" applyNumberFormat="1" applyFont="1" applyFill="1" applyBorder="1" applyAlignment="1">
      <x:alignment horizontal="center" vertical="center"/>
    </x:xf>
    <x:xf numFmtId="201" fontId="4" fillId="5" borderId="5" xfId="0" applyNumberFormat="1" applyFont="1" applyFill="1" applyBorder="1" applyAlignment="1">
      <x:alignment horizontal="center" vertical="center"/>
    </x:xf>
    <x:xf numFmtId="201" fontId="4" fillId="5" borderId="6" xfId="0" applyNumberFormat="1" applyFont="1" applyFill="1" applyBorder="1" applyAlignment="1">
      <x:alignment horizontal="center" vertical="center"/>
    </x:xf>
    <x:xf numFmtId="201" fontId="4" fillId="5" borderId="7" xfId="0" applyNumberFormat="1" applyFont="1" applyFill="1" applyBorder="1" applyAlignment="1">
      <x:alignment horizontal="center" vertical="center"/>
    </x:xf>
    <x:xf numFmtId="201" fontId="4" fillId="5" borderId="8" xfId="0" applyNumberFormat="1" applyFont="1" applyFill="1" applyBorder="1" applyAlignment="1">
      <x:alignment horizontal="center" vertical="center"/>
    </x:xf>
    <x:xf numFmtId="201" fontId="4" fillId="5" borderId="9" xfId="0" applyNumberFormat="1" applyFont="1" applyFill="1" applyBorder="1" applyAlignment="1">
      <x:alignment horizontal="center" vertical="center"/>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6" fillId="0" borderId="0" xfId="0" applyNumberFormat="1" applyFont="1" applyFill="1" applyBorder="1"/>
    <x:xf numFmtId="0" fontId="6" fillId="0" borderId="10" xfId="0" applyNumberFormat="1" applyFont="1" applyFill="1" applyBorder="1"/>
    <x:xf numFmtId="0" fontId="6" fillId="0" borderId="10" xfId="0" applyNumberFormat="1" applyFont="1" applyFill="1" applyBorder="1" applyAlignment="1">
      <x:alignment wrapText="1"/>
    </x:xf>
    <x:xf numFmtId="0" fontId="6" fillId="0" borderId="10" xfId="0" applyNumberFormat="1" applyFont="1" applyFill="1" applyBorder="1" applyAlignment="1">
      <x:alignment vertical="center" wrapText="1"/>
    </x:xf>
    <x:xf numFmtId="0" fontId="6" fillId="3" borderId="10" xfId="0" applyNumberFormat="1" applyFont="1" applyFill="1" applyBorder="1" applyAlignment="1">
      <x:alignment vertical="center" wrapText="1"/>
    </x:xf>
    <x:xf numFmtId="0" fontId="7" fillId="3" borderId="10" xfId="0" applyNumberFormat="1" applyFont="1" applyFill="1" applyBorder="1" applyAlignment="1">
      <x:alignment vertical="center" wrapText="1"/>
    </x:xf>
    <x:xf numFmtId="0" fontId="0" fillId="7" borderId="0" xfId="0" applyNumberFormat="1" applyFont="1" applyFill="1" applyBorder="1"/>
    <x:xf numFmtId="0" fontId="8" fillId="7" borderId="0" xfId="0" applyNumberFormat="1" applyFont="1" applyFill="1" applyBorder="1"/>
    <x:xf numFmtId="0" fontId="8" fillId="7" borderId="10" xfId="0" applyNumberFormat="1" applyFont="1" applyFill="1" applyBorder="1"/>
    <x:xf numFmtId="0" fontId="8" fillId="7" borderId="10" xfId="0" applyNumberFormat="1" applyFont="1" applyFill="1" applyBorder="1" applyAlignment="1">
      <x:alignment wrapText="1"/>
    </x:xf>
    <x:xf numFmtId="0" fontId="8" fillId="7" borderId="10" xfId="0" applyNumberFormat="1" applyFont="1" applyFill="1" applyBorder="1" applyAlignment="1">
      <x:alignment horizontal="center" wrapText="1"/>
    </x:xf>
    <x:xf numFmtId="0" fontId="8" fillId="7" borderId="10" xfId="0" applyNumberFormat="1" applyFont="1" applyFill="1" applyBorder="1" applyAlignment="1">
      <x:alignment horizontal="center" vertical="center" wrapText="1"/>
    </x:xf>
    <x:xf numFmtId="0" fontId="6" fillId="6" borderId="10" xfId="0" applyNumberFormat="1" applyFont="1" applyFill="1" applyBorder="1" applyAlignment="1">
      <x:alignment vertical="center" wrapText="1"/>
    </x:xf>
    <x:xf numFmtId="0" fontId="7" fillId="6" borderId="10" xfId="0" applyNumberFormat="1" applyFont="1" applyFill="1" applyBorder="1" applyAlignment="1">
      <x:alignment vertical="center" wrapText="1"/>
    </x:xf>
    <x:xf numFmtId="0" fontId="7" fillId="6" borderId="11" xfId="0" applyNumberFormat="1" applyFont="1" applyFill="1" applyBorder="1" applyAlignment="1">
      <x:alignment vertical="center" wrapText="1"/>
    </x:xf>
    <x:xf numFmtId="200" fontId="7" fillId="6" borderId="11" xfId="0" applyNumberFormat="1" applyFont="1" applyFill="1" applyBorder="1" applyAlignment="1">
      <x:alignment vertical="center" wrapText="1"/>
    </x:xf>
    <x:xf numFmtId="200" fontId="6" fillId="0" borderId="10" xfId="0" applyNumberFormat="1" applyFont="1" applyFill="1" applyBorder="1" applyAlignment="1">
      <x:alignment vertical="center" wrapText="1"/>
    </x:xf>
    <x:xf numFmtId="201" fontId="7" fillId="6" borderId="11" xfId="0" applyNumberFormat="1" applyFont="1" applyFill="1" applyBorder="1" applyAlignment="1">
      <x:alignment vertical="center" wrapText="1"/>
    </x:xf>
    <x:xf numFmtId="201" fontId="6" fillId="0" borderId="10" xfId="0" applyNumberFormat="1" applyFont="1" applyFill="1" applyBorder="1" applyAlignment="1">
      <x:alignment vertical="center" wrapText="1"/>
    </x:xf>
    <x:xf numFmtId="0" fontId="5" fillId="4" borderId="0" xfId="0" applyNumberFormat="1" applyFont="1" applyFill="1" applyBorder="1"/>
    <x:xf numFmtId="0" fontId="5" fillId="4" borderId="0" xfId="0" applyNumberFormat="1" applyFont="1" applyFill="1" applyBorder="1" applyAlignment="1">
      <x:alignment horizontal="left"/>
    </x:xf>
    <x:xf numFmtId="0" fontId="5" fillId="4" borderId="0" xfId="0" applyNumberFormat="1" applyFont="1" applyFill="1" applyBorder="1" applyAlignment="1">
      <x:alignment horizontal="left" vertical="center"/>
    </x:xf>
    <x:xf numFmtId="0" fontId="9" fillId="3" borderId="0" xfId="0" applyNumberFormat="1" applyFont="1" applyFill="1" applyBorder="1"/>
    <x:xf numFmtId="0" fontId="9" fillId="3" borderId="4"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12" xfId="0" applyNumberFormat="1" applyFont="1" applyFill="1" applyBorder="1"/>
    <x:xf numFmtId="0" fontId="9" fillId="3" borderId="13" xfId="0" applyNumberFormat="1" applyFont="1" applyFill="1" applyBorder="1"/>
    <x:xf numFmtId="0" fontId="9" fillId="3" borderId="7" xfId="0" applyNumberFormat="1" applyFont="1" applyFill="1" applyBorder="1"/>
    <x:xf numFmtId="0" fontId="9" fillId="3" borderId="8" xfId="0" applyNumberFormat="1" applyFont="1" applyFill="1" applyBorder="1"/>
    <x:xf numFmtId="0" fontId="9" fillId="3" borderId="9" xfId="0" applyNumberFormat="1" applyFont="1" applyFill="1" applyBorder="1"/>
    <x:xf numFmtId="0" fontId="9" fillId="3" borderId="4"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12" xfId="0" applyNumberFormat="1" applyFont="1" applyFill="1" applyBorder="1" applyAlignment="1">
      <x:alignment wrapText="1"/>
    </x:xf>
    <x:xf numFmtId="0" fontId="9" fillId="3" borderId="0" xfId="0" applyNumberFormat="1" applyFont="1" applyFill="1" applyBorder="1" applyAlignment="1">
      <x:alignment wrapText="1"/>
    </x:xf>
    <x:xf numFmtId="0" fontId="9" fillId="3" borderId="13" xfId="0" applyNumberFormat="1" applyFont="1" applyFill="1" applyBorder="1" applyAlignment="1">
      <x:alignment wrapText="1"/>
    </x:xf>
    <x:xf numFmtId="0" fontId="9" fillId="3" borderId="7" xfId="0" applyNumberFormat="1" applyFont="1" applyFill="1" applyBorder="1" applyAlignment="1">
      <x:alignment wrapText="1"/>
    </x:xf>
    <x:xf numFmtId="0" fontId="9" fillId="3" borderId="8" xfId="0" applyNumberFormat="1" applyFont="1" applyFill="1" applyBorder="1" applyAlignment="1">
      <x:alignment wrapText="1"/>
    </x:xf>
    <x:xf numFmtId="0" fontId="9" fillId="3" borderId="9" xfId="0" applyNumberFormat="1" applyFont="1" applyFill="1" applyBorder="1" applyAlignment="1">
      <x:alignment wrapText="1"/>
    </x:xf>
    <x:xf numFmtId="0" fontId="9" fillId="3" borderId="4" xfId="0" applyNumberFormat="1" applyFont="1" applyFill="1" applyBorder="1" applyAlignment="1">
      <x:alignment vertical="center" wrapText="1"/>
    </x:xf>
    <x:xf numFmtId="0" fontId="9" fillId="3" borderId="5" xfId="0" applyNumberFormat="1" applyFont="1" applyFill="1" applyBorder="1" applyAlignment="1">
      <x:alignment vertical="center" wrapText="1"/>
    </x:xf>
    <x:xf numFmtId="0" fontId="9" fillId="3" borderId="6" xfId="0" applyNumberFormat="1" applyFont="1" applyFill="1" applyBorder="1" applyAlignment="1">
      <x:alignment vertical="center" wrapText="1"/>
    </x:xf>
    <x:xf numFmtId="0" fontId="9" fillId="3" borderId="12" xfId="0" applyNumberFormat="1" applyFont="1" applyFill="1" applyBorder="1" applyAlignment="1">
      <x:alignment vertical="center" wrapText="1"/>
    </x:xf>
    <x:xf numFmtId="0" fontId="9" fillId="3" borderId="0" xfId="0" applyNumberFormat="1" applyFont="1" applyFill="1" applyBorder="1" applyAlignment="1">
      <x:alignment vertical="center" wrapText="1"/>
    </x:xf>
    <x:xf numFmtId="0" fontId="9" fillId="3" borderId="13" xfId="0" applyNumberFormat="1" applyFont="1" applyFill="1" applyBorder="1" applyAlignment="1">
      <x:alignment vertical="center" wrapText="1"/>
    </x:xf>
    <x:xf numFmtId="0" fontId="9" fillId="3" borderId="7" xfId="0" applyNumberFormat="1" applyFont="1" applyFill="1" applyBorder="1" applyAlignment="1">
      <x:alignment vertical="center" wrapText="1"/>
    </x:xf>
    <x:xf numFmtId="0" fontId="9" fillId="3" borderId="8" xfId="0" applyNumberFormat="1" applyFont="1" applyFill="1" applyBorder="1" applyAlignment="1">
      <x:alignment vertical="center" wrapText="1"/>
    </x:xf>
    <x:xf numFmtId="0" fontId="9" fillId="3" borderId="9" xfId="0" applyNumberFormat="1" applyFont="1" applyFill="1" applyBorder="1" applyAlignment="1">
      <x:alignment vertical="center" wrapText="1"/>
    </x:xf>
    <x:xf numFmtId="0" fontId="6" fillId="8" borderId="10" xfId="0" applyNumberFormat="1" applyFont="1" applyFill="1" applyBorder="1" applyAlignment="1">
      <x:alignment vertical="center" wrapText="1"/>
    </x:xf>
    <x:xf numFmtId="0" fontId="10" fillId="8" borderId="10" xfId="0" applyNumberFormat="1" applyFont="1" applyFill="1" applyBorder="1" applyAlignment="1">
      <x:alignment vertical="center" wrapText="1"/>
    </x:xf>
    <x:xf numFmtId="0" fontId="9" fillId="6" borderId="0" xfId="0" applyNumberFormat="1" applyFont="1" applyFill="1" applyBorder="1"/>
    <x:xf numFmtId="0" fontId="9" fillId="6" borderId="4" xfId="0" applyNumberFormat="1" applyFont="1" applyFill="1" applyBorder="1"/>
    <x:xf numFmtId="0" fontId="9" fillId="6" borderId="5" xfId="0" applyNumberFormat="1" applyFont="1" applyFill="1" applyBorder="1"/>
    <x:xf numFmtId="0" fontId="9" fillId="6" borderId="6" xfId="0" applyNumberFormat="1" applyFont="1" applyFill="1" applyBorder="1"/>
    <x:xf numFmtId="0" fontId="9" fillId="6" borderId="12" xfId="0" applyNumberFormat="1" applyFont="1" applyFill="1" applyBorder="1"/>
    <x:xf numFmtId="0" fontId="9" fillId="6" borderId="13" xfId="0" applyNumberFormat="1" applyFont="1" applyFill="1" applyBorder="1"/>
    <x:xf numFmtId="0" fontId="9" fillId="6" borderId="7" xfId="0" applyNumberFormat="1" applyFont="1" applyFill="1" applyBorder="1"/>
    <x:xf numFmtId="0" fontId="9" fillId="6" borderId="8" xfId="0" applyNumberFormat="1" applyFont="1" applyFill="1" applyBorder="1"/>
    <x:xf numFmtId="0" fontId="9" fillId="6" borderId="9" xfId="0" applyNumberFormat="1" applyFont="1" applyFill="1" applyBorder="1"/>
    <x:xf numFmtId="0" fontId="9" fillId="6" borderId="4" xfId="0" applyNumberFormat="1" applyFont="1" applyFill="1" applyBorder="1" applyAlignment="1">
      <x:alignment wrapText="1"/>
    </x:xf>
    <x:xf numFmtId="0" fontId="9" fillId="6" borderId="5" xfId="0" applyNumberFormat="1" applyFont="1" applyFill="1" applyBorder="1" applyAlignment="1">
      <x:alignment wrapText="1"/>
    </x:xf>
    <x:xf numFmtId="0" fontId="9" fillId="6" borderId="6" xfId="0" applyNumberFormat="1" applyFont="1" applyFill="1" applyBorder="1" applyAlignment="1">
      <x:alignment wrapText="1"/>
    </x:xf>
    <x:xf numFmtId="0" fontId="9" fillId="6" borderId="12" xfId="0" applyNumberFormat="1" applyFont="1" applyFill="1" applyBorder="1" applyAlignment="1">
      <x:alignment wrapText="1"/>
    </x:xf>
    <x:xf numFmtId="0" fontId="9" fillId="6" borderId="0" xfId="0" applyNumberFormat="1" applyFont="1" applyFill="1" applyBorder="1" applyAlignment="1">
      <x:alignment wrapText="1"/>
    </x:xf>
    <x:xf numFmtId="0" fontId="9" fillId="6" borderId="13" xfId="0" applyNumberFormat="1" applyFont="1" applyFill="1" applyBorder="1" applyAlignment="1">
      <x:alignment wrapText="1"/>
    </x:xf>
    <x:xf numFmtId="0" fontId="9" fillId="6" borderId="7" xfId="0" applyNumberFormat="1" applyFont="1" applyFill="1" applyBorder="1" applyAlignment="1">
      <x:alignment wrapText="1"/>
    </x:xf>
    <x:xf numFmtId="0" fontId="9" fillId="6" borderId="8" xfId="0" applyNumberFormat="1" applyFont="1" applyFill="1" applyBorder="1" applyAlignment="1">
      <x:alignment wrapText="1"/>
    </x:xf>
    <x:xf numFmtId="0" fontId="9" fillId="6" borderId="9" xfId="0" applyNumberFormat="1" applyFont="1" applyFill="1" applyBorder="1" applyAlignment="1">
      <x:alignment wrapText="1"/>
    </x:xf>
    <x:xf numFmtId="0" fontId="9" fillId="6" borderId="4" xfId="0" applyNumberFormat="1" applyFont="1" applyFill="1" applyBorder="1" applyAlignment="1">
      <x:alignment vertical="center" wrapText="1"/>
    </x:xf>
    <x:xf numFmtId="0" fontId="9" fillId="6" borderId="5" xfId="0" applyNumberFormat="1" applyFont="1" applyFill="1" applyBorder="1" applyAlignment="1">
      <x:alignment vertical="center" wrapText="1"/>
    </x:xf>
    <x:xf numFmtId="0" fontId="9" fillId="6" borderId="6" xfId="0" applyNumberFormat="1" applyFont="1" applyFill="1" applyBorder="1" applyAlignment="1">
      <x:alignment vertical="center" wrapText="1"/>
    </x:xf>
    <x:xf numFmtId="0" fontId="9" fillId="6" borderId="12" xfId="0" applyNumberFormat="1" applyFont="1" applyFill="1" applyBorder="1" applyAlignment="1">
      <x:alignment vertical="center" wrapText="1"/>
    </x:xf>
    <x:xf numFmtId="0" fontId="9" fillId="6" borderId="0" xfId="0" applyNumberFormat="1" applyFont="1" applyFill="1" applyBorder="1" applyAlignment="1">
      <x:alignment vertical="center" wrapText="1"/>
    </x:xf>
    <x:xf numFmtId="0" fontId="9" fillId="6" borderId="13" xfId="0" applyNumberFormat="1" applyFont="1" applyFill="1" applyBorder="1" applyAlignment="1">
      <x:alignment vertical="center" wrapText="1"/>
    </x:xf>
    <x:xf numFmtId="0" fontId="9" fillId="6" borderId="7" xfId="0" applyNumberFormat="1" applyFont="1" applyFill="1" applyBorder="1" applyAlignment="1">
      <x:alignment vertical="center" wrapText="1"/>
    </x:xf>
    <x:xf numFmtId="0" fontId="9" fillId="6" borderId="8" xfId="0" applyNumberFormat="1" applyFont="1" applyFill="1" applyBorder="1" applyAlignment="1">
      <x:alignment vertical="center" wrapText="1"/>
    </x:xf>
    <x:xf numFmtId="0" fontId="9" fillId="6" borderId="9" xfId="0" applyNumberFormat="1" applyFont="1" applyFill="1" applyBorder="1" applyAlignment="1">
      <x:alignment vertical="center" wrapText="1"/>
    </x:xf>
    <x:xf numFmtId="201" fontId="6" fillId="6" borderId="10" xfId="0" applyNumberFormat="1" applyFont="1" applyFill="1" applyBorder="1" applyAlignment="1">
      <x:alignment vertical="center" wrapText="1"/>
    </x:xf>
    <x:xf numFmtId="201" fontId="7" fillId="6" borderId="10" xfId="0" applyNumberFormat="1" applyFont="1" applyFill="1" applyBorder="1" applyAlignment="1">
      <x:alignment vertical="center" wrapText="1"/>
    </x:xf>
    <x:xf numFmtId="0" fontId="6" fillId="4" borderId="10" xfId="0" applyNumberFormat="1" applyFont="1" applyFill="1" applyBorder="1" applyAlignment="1">
      <x:alignment vertical="center" wrapText="1"/>
    </x:xf>
    <x:xf numFmtId="0" fontId="11" fillId="4" borderId="10" xfId="0" applyNumberFormat="1" applyFont="1" applyFill="1" applyBorder="1" applyAlignment="1">
      <x:alignment vertical="center" wrapText="1"/>
    </x:xf>
    <x:xf numFmtId="202" fontId="7" fillId="6" borderId="11" xfId="0" applyNumberFormat="1" applyFont="1" applyFill="1" applyBorder="1" applyAlignment="1">
      <x:alignment vertical="center" wrapText="1"/>
    </x:xf>
  </x:cellXfs>
  <x:cellStyles count="1">
    <x:cellStyle name="Normal" xfId="0"/>
  </x:cellStyles>
  <x:dxfs count="6">
    <x:dxf>
      <x:font>
        <x:b/>
        <x:color rgb="FF5B2333"/>
      </x:font>
      <x:fill>
        <x:patternFill patternType="solid">
          <x:bgColor rgb="FFF7E5EB"/>
        </x:patternFill>
      </x:fill>
    </x:dxf>
    <x:dxf>
      <x:font>
        <x:b/>
        <x:color rgb="FF24613B"/>
      </x:font>
      <x:fill>
        <x:patternFill patternType="solid">
          <x:bgColor rgb="FFE6F2EC"/>
        </x:patternFill>
      </x:fill>
    </x:dxf>
    <x:dxf>
      <x:font>
        <x:b/>
        <x:color rgb="FF5B2333"/>
      </x:font>
      <x:fill>
        <x:patternFill patternType="solid">
          <x:bgColor rgb="FFF7ECD2"/>
        </x:patternFill>
      </x:fill>
    </x:dxf>
    <x:dxf>
      <x:font>
        <x:b/>
        <x:color rgb="FF637078"/>
      </x:font>
      <x:fill>
        <x:patternFill patternType="solid">
          <x:bgColor rgb="FFEEF1F3"/>
        </x:patternFill>
      </x:fill>
    </x:dxf>
    <x:dxf>
      <x:font>
        <x:b/>
        <x:color rgb="FF24613B"/>
      </x:font>
      <x:fill>
        <x:patternFill patternType="solid">
          <x:bgColor rgb="FFE6F2EC"/>
        </x:patternFill>
      </x:fill>
    </x:dxf>
    <x:dxf>
      <x:font>
        <x:b/>
        <x:color rgb="FF5B2333"/>
      </x:font>
      <x:fill>
        <x:patternFill patternType="solid">
          <x:bgColor rgb="FFF7E5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f545aa2985e41a9" /><Relationship Type="http://schemas.openxmlformats.org/officeDocument/2006/relationships/theme" Target="/xl/theme/theme1.xml" Id="R1e4279191b664c1f" /><Relationship Type="http://schemas.openxmlformats.org/officeDocument/2006/relationships/sharedStrings" Target="/xl/sharedStrings.xml" Id="R29bf7c79d5404514" /><Relationship Type="http://schemas.openxmlformats.org/officeDocument/2006/relationships/worksheet" Target="/xl/worksheets/sheet1.xml" Id="Rbefeb98dd8b445d6" /><Relationship Type="http://schemas.openxmlformats.org/officeDocument/2006/relationships/worksheet" Target="/xl/worksheets/sheet2.xml" Id="R05b33dcf4e5c4ecd" /><Relationship Type="http://schemas.openxmlformats.org/officeDocument/2006/relationships/worksheet" Target="/xl/worksheets/sheet3.xml" Id="R2eb946e74e874551" /><Relationship Type="http://schemas.openxmlformats.org/officeDocument/2006/relationships/worksheet" Target="/xl/worksheets/sheet4.xml" Id="Rfa734326a7e5496f" /><Relationship Type="http://schemas.openxmlformats.org/officeDocument/2006/relationships/worksheet" Target="/xl/worksheets/sheet5.xml" Id="R4125c63ccee04d2b" /><Relationship Type="http://schemas.openxmlformats.org/officeDocument/2006/relationships/worksheet" Target="/xl/worksheets/sheet6.xml" Id="Reeb680fb04184705" /><Relationship Type="http://schemas.openxmlformats.org/officeDocument/2006/relationships/worksheet" Target="/xl/worksheets/sheet7.xml" Id="Rcc121d6ca1744e7f" /><Relationship Type="http://schemas.openxmlformats.org/officeDocument/2006/relationships/worksheet" Target="/xl/worksheets/sheet8.xml" Id="R2e7f166b37cd46e2" /></Relationships>
</file>

<file path=xl/drawings/_rels/drawing1.xml.rels>&#65279;<?xml version="1.0" encoding="utf-8"?><Relationships xmlns="http://schemas.openxmlformats.org/package/2006/relationships"><Relationship Type="http://schemas.openxmlformats.org/officeDocument/2006/relationships/chart" Target="/xl/drawings/charts/chart1.xml" Id="Rcef6a62113a44849" /></Relationships>
</file>

<file path=xl/drawings/_rels/drawing2.xml.rels>&#65279;<?xml version="1.0" encoding="utf-8"?><Relationships xmlns="http://schemas.openxmlformats.org/package/2006/relationships"><Relationship Type="http://schemas.openxmlformats.org/officeDocument/2006/relationships/chart" Target="/xl/drawings/charts/chart2.xml" Id="R2e04c708957345ed" /></Relationships>
</file>

<file path=xl/drawings/_rels/drawing3.xml.rels>&#65279;<?xml version="1.0" encoding="utf-8"?><Relationships xmlns="http://schemas.openxmlformats.org/package/2006/relationships"><Relationship Type="http://schemas.openxmlformats.org/officeDocument/2006/relationships/chart" Target="/xl/drawings/charts/chart3.xml" Id="R8ca2a30a4d2149f8" /><Relationship Type="http://schemas.openxmlformats.org/officeDocument/2006/relationships/chart" Target="/xl/drawings/charts/chart4.xml" Id="Reb1b999c958c454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Prior history separated later risk</a:t>
            </a:r>
          </a:p>
        </c:rich>
      </c:tx>
      <c:overlay val="0"/>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Late-cancellation rate</c:v>
          </c:tx>
          <c:spPr>
            <a:solidFill xmlns:a="http://schemas.openxmlformats.org/drawingml/2006/main">
              <a:srgbClr val="C93C68"/>
            </a:solidFill>
          </c:spPr>
          <c:cat>
            <c:strRef>
              <c:f>'00 Portfolio Summary'!$G$13:$G$14</c:f>
              <c:strCache>
                <c:ptCount val="0"/>
              </c:strCache>
            </c:strRef>
          </c:cat>
          <c:val>
            <c:numRef>
              <c:f>'00 Portfolio Summary'!$J$13:$J$14</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max val="0.18"/>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24–&lt;72 hours ranked highest in both timing views</a:t>
            </a:r>
          </a:p>
        </c:rich>
      </c:tx>
      <c:overlay val="0"/>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First booking</c:v>
          </c:tx>
          <c:spPr>
            <a:solidFill xmlns:a="http://schemas.openxmlformats.org/drawingml/2006/main">
              <a:srgbClr val="5B2333"/>
            </a:solidFill>
          </c:spPr>
          <c:cat>
            <c:strRef>
              <c:f>'03 Timing Analysis'!$A$25:$A$29</c:f>
              <c:strCache>
                <c:ptCount val="0"/>
              </c:strCache>
            </c:strRef>
          </c:cat>
          <c:val>
            <c:numRef>
              <c:f>'03 Timing Analysis'!$B$25:$B$29</c:f>
              <c:numCache>
                <c:formatCode>0%</c:formatCode>
                <c:ptCount val="0"/>
              </c:numCache>
            </c:numRef>
          </c:val>
        </c:ser>
        <c:ser>
          <c:idx val="1"/>
          <c:order val="1"/>
          <c:tx>
            <c:v>Exactly one booking</c:v>
          </c:tx>
          <c:spPr>
            <a:solidFill xmlns:a="http://schemas.openxmlformats.org/drawingml/2006/main">
              <a:srgbClr val="C93C68"/>
            </a:solidFill>
          </c:spPr>
          <c:cat>
            <c:strRef>
              <c:f>'03 Timing Analysis'!$A$25:$A$29</c:f>
              <c:strCache>
                <c:ptCount val="0"/>
              </c:strCache>
            </c:strRef>
          </c:cat>
          <c:val>
            <c:numRef>
              <c:f>'03 Timing Analysis'!$C$25:$C$29</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max val="0.16"/>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Later same-HCP late-cancellation rate</a:t>
            </a:r>
          </a:p>
        </c:rich>
      </c:tx>
      <c:overlay val="0"/>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Late-cancellation rate</c:v>
          </c:tx>
          <c:spPr>
            <a:solidFill xmlns:a="http://schemas.openxmlformats.org/drawingml/2006/main">
              <a:srgbClr val="C93C68"/>
            </a:solidFill>
          </c:spPr>
          <c:cat>
            <c:strRef>
              <c:f>'04 Pilot Rule'!$A$13:$A$14</c:f>
              <c:strCache>
                <c:ptCount val="0"/>
              </c:strCache>
            </c:strRef>
          </c:cat>
          <c:val>
            <c:numRef>
              <c:f>'04 Pilot Rule'!$D$13:$D$14</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max val="0.18"/>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Threshold sensitivity</a:t>
            </a:r>
          </a:p>
        </c:rich>
      </c:tx>
      <c:overlay val="0"/>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Qualifying rate</c:v>
          </c:tx>
          <c:spPr>
            <a:solidFill xmlns:a="http://schemas.openxmlformats.org/drawingml/2006/main">
              <a:srgbClr val="C93C68"/>
            </a:solidFill>
          </c:spPr>
          <c:cat>
            <c:strRef>
              <c:f>'04 Pilot Rule'!$A$27:$A$29</c:f>
              <c:strCache>
                <c:ptCount val="0"/>
              </c:strCache>
            </c:strRef>
          </c:cat>
          <c:val>
            <c:numRef>
              <c:f>'04 Pilot Rule'!$E$27:$E$29</c:f>
              <c:numCache>
                <c:formatCode>0%</c:formatCode>
                <c:ptCount val="0"/>
              </c:numCache>
            </c:numRef>
          </c:val>
        </c:ser>
        <c:ser>
          <c:idx val="1"/>
          <c:order val="1"/>
          <c:tx>
            <c:v>Other rate</c:v>
          </c:tx>
          <c:spPr>
            <a:solidFill xmlns:a="http://schemas.openxmlformats.org/drawingml/2006/main">
              <a:srgbClr val="5B2333"/>
            </a:solidFill>
          </c:spPr>
          <c:cat>
            <c:strRef>
              <c:f>'04 Pilot Rule'!$A$27:$A$29</c:f>
              <c:strCache>
                <c:ptCount val="0"/>
              </c:strCache>
            </c:strRef>
          </c:cat>
          <c:val>
            <c:numRef>
              <c:f>'04 Pilot Rule'!$G$27:$G$29</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Minimum prior resolved shifts</a:t>
                </a:r>
              </a:p>
            </c:rich>
          </c:tx>
          <c:overlay val="0"/>
        </c:title>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max val="0.18"/>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15</xdr:row>
      <xdr:rowOff>0</xdr:rowOff>
    </xdr:from>
    <xdr:to>
      <xdr:col>12</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ef6a62113a44849"/>
        </a:graphicData>
      </a:graphic>
    </xdr:graphicFrame>
    <xdr:clientData/>
  </xdr:twoCellAnchor>
</xdr:wsDr>
</file>

<file path=xl/drawings/drawing2.xml><?xml version="1.0" encoding="utf-8"?>
<xdr:wsDr xmlns:xdr="http://schemas.openxmlformats.org/drawingml/2006/spreadsheetDrawing">
  <xdr:twoCellAnchor>
    <xdr:from>
      <xdr:col>5</xdr:col>
      <xdr:colOff>0</xdr:colOff>
      <xdr:row>4</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e04c708957345ed"/>
        </a:graphicData>
      </a:graphic>
    </xdr:graphicFrame>
    <xdr:clientData/>
  </xdr:twoCellAnchor>
</xdr:wsDr>
</file>

<file path=xl/drawings/drawing3.xml><?xml version="1.0" encoding="utf-8"?>
<xdr:wsDr xmlns:xdr="http://schemas.openxmlformats.org/drawingml/2006/spreadsheetDrawing">
  <xdr:twoCellAnchor>
    <xdr:from>
      <xdr:col>6</xdr:col>
      <xdr:colOff>0</xdr:colOff>
      <xdr:row>4</xdr:row>
      <xdr:rowOff>0</xdr:rowOff>
    </xdr:from>
    <xdr:to>
      <xdr:col>14</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ca2a30a4d2149f8"/>
        </a:graphicData>
      </a:graphic>
    </xdr:graphicFrame>
    <xdr:clientData/>
  </xdr:twoCellAnchor>
  <xdr:twoCellAnchor>
    <xdr:from>
      <xdr:col>8</xdr:col>
      <xdr:colOff>0</xdr:colOff>
      <xdr:row>18</xdr:row>
      <xdr:rowOff>0</xdr:rowOff>
    </xdr:from>
    <xdr:to>
      <xdr:col>14</xdr:col>
      <xdr:colOff>0</xdr:colOff>
      <xdr:row>32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b1b999c958c4545"/>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d632cd7be1274ad4" /></Relationships>
</file>

<file path=xl/worksheets/_rels/sheet4.xml.rels>&#65279;<?xml version="1.0" encoding="utf-8"?><Relationships xmlns="http://schemas.openxmlformats.org/package/2006/relationships"><Relationship Type="http://schemas.openxmlformats.org/officeDocument/2006/relationships/drawing" Target="/xl/drawings/drawing2.xml" Id="R5b5065a40682474e" /></Relationships>
</file>

<file path=xl/worksheets/_rels/sheet5.xml.rels>&#65279;<?xml version="1.0" encoding="utf-8"?><Relationships xmlns="http://schemas.openxmlformats.org/package/2006/relationships"><Relationship Type="http://schemas.openxmlformats.org/officeDocument/2006/relationships/drawing" Target="/xl/drawings/drawing3.xml" Id="Rdcb934212c4448f1" /></Relationships>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24" hidden="0" customWidth="1"/>
    <x:col min="3" max="3" width="12" hidden="0" customWidth="1"/>
    <x:col min="4" max="4" width="16" hidden="0" customWidth="1"/>
    <x:col min="5" max="5" width="16" hidden="0" customWidth="1"/>
    <x:col min="6" max="6" width="12" hidden="0" customWidth="1"/>
    <x:col min="7" max="7" width="23" hidden="0" customWidth="1"/>
    <x:col min="8" max="8" width="15" hidden="0" customWidth="1"/>
    <x:col min="9" max="9" width="17" hidden="0" customWidth="1"/>
    <x:col min="10" max="10" width="14" hidden="0" customWidth="1"/>
    <x:col min="11" max="11" width="12" hidden="0" customWidth="1"/>
    <x:col min="12" max="12" width="12" hidden="0" customWidth="1"/>
  </x:cols>
  <x:sheetData>
    <x:row r="1" ht="34" customHeight="1">
      <x:c r="A1" s="4" t="str">
        <x:v>Marketplace reliability | portfolio analysis</x:v>
      </x:c>
      <x:c r="B1" s="4" t="str">
        <x:v>Marketplace reliability | portfolio analysis</x:v>
      </x:c>
      <x:c r="C1" s="4" t="str">
        <x:v>Marketplace reliability | portfolio analysis</x:v>
      </x:c>
      <x:c r="D1" s="4" t="str">
        <x:v>Marketplace reliability | portfolio analysis</x:v>
      </x:c>
      <x:c r="E1" s="4" t="str">
        <x:v>Marketplace reliability | portfolio analysis</x:v>
      </x:c>
      <x:c r="F1" s="4" t="str">
        <x:v>Marketplace reliability | portfolio analysis</x:v>
      </x:c>
      <x:c r="G1" s="4" t="str">
        <x:v>Marketplace reliability | portfolio analysis</x:v>
      </x:c>
      <x:c r="H1" s="4" t="str">
        <x:v>Marketplace reliability | portfolio analysis</x:v>
      </x:c>
      <x:c r="I1" s="4" t="str">
        <x:v>Marketplace reliability | portfolio analysis</x:v>
      </x:c>
      <x:c r="J1" s="4" t="str">
        <x:v>Marketplace reliability | portfolio analysis</x:v>
      </x:c>
      <x:c r="K1" s="4" t="str">
        <x:v>Marketplace reliability | portfolio analysis</x:v>
      </x:c>
      <x:c r="L1" s="4" t="str">
        <x:v>Marketplace reliability | portfolio analysis</x:v>
      </x:c>
    </x:row>
    <x:row r="2" ht="34" customHeight="1">
      <x:c r="A2" s="4" t="str">
        <x:v>Marketplace reliability | portfolio analysis</x:v>
      </x:c>
      <x:c r="B2" s="4" t="str">
        <x:v>Marketplace reliability | portfolio analysis</x:v>
      </x:c>
      <x:c r="C2" s="4" t="str">
        <x:v>Marketplace reliability | portfolio analysis</x:v>
      </x:c>
      <x:c r="D2" s="4" t="str">
        <x:v>Marketplace reliability | portfolio analysis</x:v>
      </x:c>
      <x:c r="E2" s="4" t="str">
        <x:v>Marketplace reliability | portfolio analysis</x:v>
      </x:c>
      <x:c r="F2" s="4" t="str">
        <x:v>Marketplace reliability | portfolio analysis</x:v>
      </x:c>
      <x:c r="G2" s="4" t="str">
        <x:v>Marketplace reliability | portfolio analysis</x:v>
      </x:c>
      <x:c r="H2" s="4" t="str">
        <x:v>Marketplace reliability | portfolio analysis</x:v>
      </x:c>
      <x:c r="I2" s="4" t="str">
        <x:v>Marketplace reliability | portfolio analysis</x:v>
      </x:c>
      <x:c r="J2" s="4" t="str">
        <x:v>Marketplace reliability | portfolio analysis</x:v>
      </x:c>
      <x:c r="K2" s="4" t="str">
        <x:v>Marketplace reliability | portfolio analysis</x:v>
      </x:c>
      <x:c r="L2" s="4" t="str">
        <x:v>Marketplace reliability | portfolio analysis</x:v>
      </x:c>
    </x:row>
    <x:row r="3" ht="24" customHeight="1">
      <x:c r="A3" s="8" t="str">
        <x:v>Aggregate-only public workbook. Source rows, prepared events, and the joined shift mart remain private because redistribution permission was not provided.</x:v>
      </x:c>
      <x:c r="B3" s="8" t="str">
        <x:v>Aggregate-only public workbook. Source rows, prepared events, and the joined shift mart remain private because redistribution permission was not provided.</x:v>
      </x:c>
      <x:c r="C3" s="8" t="str">
        <x:v>Aggregate-only public workbook. Source rows, prepared events, and the joined shift mart remain private because redistribution permission was not provided.</x:v>
      </x:c>
      <x:c r="D3" s="8" t="str">
        <x:v>Aggregate-only public workbook. Source rows, prepared events, and the joined shift mart remain private because redistribution permission was not provided.</x:v>
      </x:c>
      <x:c r="E3" s="8" t="str">
        <x:v>Aggregate-only public workbook. Source rows, prepared events, and the joined shift mart remain private because redistribution permission was not provided.</x:v>
      </x:c>
      <x:c r="F3" s="8" t="str">
        <x:v>Aggregate-only public workbook. Source rows, prepared events, and the joined shift mart remain private because redistribution permission was not provided.</x:v>
      </x:c>
      <x:c r="G3" s="8" t="str">
        <x:v>Aggregate-only public workbook. Source rows, prepared events, and the joined shift mart remain private because redistribution permission was not provided.</x:v>
      </x:c>
      <x:c r="H3" s="8" t="str">
        <x:v>Aggregate-only public workbook. Source rows, prepared events, and the joined shift mart remain private because redistribution permission was not provided.</x:v>
      </x:c>
      <x:c r="I3" s="8" t="str">
        <x:v>Aggregate-only public workbook. Source rows, prepared events, and the joined shift mart remain private because redistribution permission was not provided.</x:v>
      </x:c>
      <x:c r="J3" s="8" t="str">
        <x:v>Aggregate-only public workbook. Source rows, prepared events, and the joined shift mart remain private because redistribution permission was not provided.</x:v>
      </x:c>
      <x:c r="K3" s="8" t="str">
        <x:v>Aggregate-only public workbook. Source rows, prepared events, and the joined shift mart remain private because redistribution permission was not provided.</x:v>
      </x:c>
      <x:c r="L3" s="8" t="str">
        <x:v>Aggregate-only public workbook. Source rows, prepared events, and the joined shift mart remain private because redistribution permission was not provided.</x:v>
      </x:c>
    </x:row>
    <x:row r="4" ht="24" customHeight="1">
      <x:c r="A4" s="8" t="str">
        <x:v>Aggregate-only public workbook. Source rows, prepared events, and the joined shift mart remain private because redistribution permission was not provided.</x:v>
      </x:c>
      <x:c r="B4" s="8" t="str">
        <x:v>Aggregate-only public workbook. Source rows, prepared events, and the joined shift mart remain private because redistribution permission was not provided.</x:v>
      </x:c>
      <x:c r="C4" s="8" t="str">
        <x:v>Aggregate-only public workbook. Source rows, prepared events, and the joined shift mart remain private because redistribution permission was not provided.</x:v>
      </x:c>
      <x:c r="D4" s="8" t="str">
        <x:v>Aggregate-only public workbook. Source rows, prepared events, and the joined shift mart remain private because redistribution permission was not provided.</x:v>
      </x:c>
      <x:c r="E4" s="8" t="str">
        <x:v>Aggregate-only public workbook. Source rows, prepared events, and the joined shift mart remain private because redistribution permission was not provided.</x:v>
      </x:c>
      <x:c r="F4" s="8" t="str">
        <x:v>Aggregate-only public workbook. Source rows, prepared events, and the joined shift mart remain private because redistribution permission was not provided.</x:v>
      </x:c>
      <x:c r="G4" s="8" t="str">
        <x:v>Aggregate-only public workbook. Source rows, prepared events, and the joined shift mart remain private because redistribution permission was not provided.</x:v>
      </x:c>
      <x:c r="H4" s="8" t="str">
        <x:v>Aggregate-only public workbook. Source rows, prepared events, and the joined shift mart remain private because redistribution permission was not provided.</x:v>
      </x:c>
      <x:c r="I4" s="8" t="str">
        <x:v>Aggregate-only public workbook. Source rows, prepared events, and the joined shift mart remain private because redistribution permission was not provided.</x:v>
      </x:c>
      <x:c r="J4" s="8" t="str">
        <x:v>Aggregate-only public workbook. Source rows, prepared events, and the joined shift mart remain private because redistribution permission was not provided.</x:v>
      </x:c>
      <x:c r="K4" s="8" t="str">
        <x:v>Aggregate-only public workbook. Source rows, prepared events, and the joined shift mart remain private because redistribution permission was not provided.</x:v>
      </x:c>
      <x:c r="L4" s="8" t="str">
        <x:v>Aggregate-only public workbook. Source rows, prepared events, and the joined shift mart remain private because redistribution permission was not provided.</x:v>
      </x:c>
    </x:row>
    <x:row r="6">
      <x:c r="A6" s="20" t="str">
        <x:v>ANALYSIS POPULATION</x:v>
      </x:c>
      <x:c r="B6" s="21" t="str">
        <x:v>ANALYSIS POPULATION</x:v>
      </x:c>
      <x:c r="C6" s="22" t="str">
        <x:v>ANALYSIS POPULATION</x:v>
      </x:c>
      <x:c r="D6" s="20" t="str">
        <x:v>BASELINE LATE-CANCELLATION RATE</x:v>
      </x:c>
      <x:c r="E6" s="21" t="str">
        <x:v>BASELINE LATE-CANCELLATION RATE</x:v>
      </x:c>
      <x:c r="F6" s="22" t="str">
        <x:v>BASELINE LATE-CANCELLATION RATE</x:v>
      </x:c>
      <x:c r="G6" s="20" t="str">
        <x:v>24–&lt;72H FIRST-BOOKING RATE</x:v>
      </x:c>
      <x:c r="H6" s="21" t="str">
        <x:v>24–&lt;72H FIRST-BOOKING RATE</x:v>
      </x:c>
      <x:c r="I6" s="22" t="str">
        <x:v>24–&lt;72H FIRST-BOOKING RATE</x:v>
      </x:c>
      <x:c r="J6" s="20" t="str">
        <x:v>QUALIFYING-GROUP HISTORICAL RATE</x:v>
      </x:c>
      <x:c r="K6" s="21" t="str">
        <x:v>QUALIFYING-GROUP HISTORICAL RATE</x:v>
      </x:c>
      <x:c r="L6" s="22" t="str">
        <x:v>QUALIFYING-GROUP HISTORICAL RATE</x:v>
      </x:c>
    </x:row>
    <x:row r="7" ht="38" customHeight="1">
      <x:c r="A7" s="43" t="n">
        <x:f>'01 Data Preparation'!B7</x:f>
        <x:v>41040</x:v>
      </x:c>
      <x:c r="B7" s="44"/>
      <x:c r="C7" s="45"/>
      <x:c r="D7" s="49" t="n">
        <x:f>'02 Explorer Tables'!D7</x:f>
        <x:v>0.06057504873294347</x:v>
      </x:c>
      <x:c r="E7" s="50"/>
      <x:c r="F7" s="51"/>
      <x:c r="G7" s="49" t="n">
        <x:f>'03 Timing Analysis'!D8</x:f>
        <x:v>0.1362126245847176</x:v>
      </x:c>
      <x:c r="H7" s="50"/>
      <x:c r="I7" s="51"/>
      <x:c r="J7" s="49" t="n">
        <x:f>'04 Pilot Rule'!D13</x:f>
        <x:v>0.07470288624787776</x:v>
      </x:c>
      <x:c r="K7" s="50"/>
      <x:c r="L7" s="51"/>
    </x:row>
    <x:row r="8" ht="38" customHeight="1">
      <x:c r="A8" s="46"/>
      <x:c r="B8" s="47"/>
      <x:c r="C8" s="48"/>
      <x:c r="D8" s="52"/>
      <x:c r="E8" s="53"/>
      <x:c r="F8" s="54"/>
      <x:c r="G8" s="52"/>
      <x:c r="H8" s="53"/>
      <x:c r="I8" s="54"/>
      <x:c r="J8" s="52"/>
      <x:c r="K8" s="53"/>
      <x:c r="L8" s="54"/>
    </x:row>
    <x:row r="11" ht="22" customHeight="1">
      <x:c r="A11" s="58" t="str">
        <x:v>Pilot rule carried into the proposal</x:v>
      </x:c>
      <x:c r="B11" s="58" t="str">
        <x:v>Pilot rule carried into the proposal</x:v>
      </x:c>
      <x:c r="C11" s="58" t="str">
        <x:v>Pilot rule carried into the proposal</x:v>
      </x:c>
      <x:c r="D11" s="58" t="str">
        <x:v>Pilot rule carried into the proposal</x:v>
      </x:c>
      <x:c r="E11" s="58" t="str">
        <x:v>Pilot rule carried into the proposal</x:v>
      </x:c>
      <x:c r="F11" s="58" t="str">
        <x:v>Pilot rule carried into the proposal</x:v>
      </x:c>
      <x:c r="G11" s="58" t="str">
        <x:v>Historical comparison behind the test</x:v>
      </x:c>
      <x:c r="H11" s="58" t="str">
        <x:v>Historical comparison behind the test</x:v>
      </x:c>
      <x:c r="I11" s="58" t="str">
        <x:v>Historical comparison behind the test</x:v>
      </x:c>
      <x:c r="J11" s="58" t="str">
        <x:v>Historical comparison behind the test</x:v>
      </x:c>
      <x:c r="K11" s="58" t="str">
        <x:v>Historical comparison behind the test</x:v>
      </x:c>
      <x:c r="L11" s="58" t="str">
        <x:v>Historical comparison behind the test</x:v>
      </x:c>
    </x:row>
    <x:row r="12" ht="28" customHeight="1">
      <x:c r="A12" s="64" t="str">
        <x:v>Population</x:v>
      </x:c>
      <x:c r="B12" s="62" t="str">
        <x:v>Open Metro A shifts entering the 24-to-less-than-72-hour window</x:v>
      </x:c>
      <x:c r="C12" s="62"/>
      <x:c r="D12" s="62"/>
      <x:c r="E12" s="62"/>
      <x:c r="F12" s="62"/>
      <x:c r="G12" s="70" t="str">
        <x:v>Group</x:v>
      </x:c>
      <x:c r="H12" s="70" t="str">
        <x:v>Booking decisions</x:v>
      </x:c>
      <x:c r="I12" s="70" t="str">
        <x:v>Later late cancellations</x:v>
      </x:c>
      <x:c r="J12" s="70" t="str">
        <x:v>Rate</x:v>
      </x:c>
    </x:row>
    <x:row r="13">
      <x:c r="A13" s="64" t="str">
        <x:v>Preferred group</x:v>
      </x:c>
      <x:c r="B13" s="62" t="str">
        <x:v>HCPs with 10+ prior resolved shifts and a prior late-cancellation rate below 10%</x:v>
      </x:c>
      <x:c r="C13" s="62"/>
      <x:c r="D13" s="62"/>
      <x:c r="E13" s="62"/>
      <x:c r="F13" s="62"/>
      <x:c r="G13" s="73" t="str">
        <x:v>Meets pilot screen</x:v>
      </x:c>
      <x:c r="H13" s="74" t="n">
        <x:v>589</x:v>
      </x:c>
      <x:c r="I13" s="74" t="n">
        <x:v>44</x:v>
      </x:c>
      <x:c r="J13" s="76" t="n">
        <x:f>I13/H13</x:f>
        <x:v>0.07470288624787776</x:v>
      </x:c>
    </x:row>
    <x:row r="14">
      <x:c r="A14" s="64" t="str">
        <x:v>Treatment</x:v>
      </x:c>
      <x:c r="B14" s="62" t="str">
        <x:v>30-minute preferred-access period</x:v>
      </x:c>
      <x:c r="C14" s="62"/>
      <x:c r="D14" s="62"/>
      <x:c r="E14" s="62"/>
      <x:c r="F14" s="62"/>
      <x:c r="G14" s="62" t="str">
        <x:v>Other target-window decisions</x:v>
      </x:c>
      <x:c r="H14" s="75" t="n">
        <x:v>1153</x:v>
      </x:c>
      <x:c r="I14" s="75" t="n">
        <x:v>181</x:v>
      </x:c>
      <x:c r="J14" s="77" t="n">
        <x:f>I14/H14</x:f>
        <x:v>0.1569817866435386</x:v>
      </x:c>
    </x:row>
    <x:row r="15">
      <x:c r="A15" s="64" t="str">
        <x:v>Fallback</x:v>
      </x:c>
      <x:c r="B15" s="62" t="str">
        <x:v>Any unfilled shift returns to the wider qualified pool</x:v>
      </x:c>
      <x:c r="C15" s="62"/>
      <x:c r="D15" s="62"/>
      <x:c r="E15" s="62"/>
      <x:c r="F15" s="62"/>
    </x:row>
    <x:row r="16">
      <x:c r="A16" s="64" t="str">
        <x:v>Test</x:v>
      </x:c>
      <x:c r="B16" s="62" t="str">
        <x:v>16-week randomized pilot</x:v>
      </x:c>
      <x:c r="C16" s="62"/>
      <x:c r="D16" s="62"/>
      <x:c r="E16" s="62"/>
      <x:c r="F16" s="62"/>
    </x:row>
    <x:row r="17">
      <x:c r="A17" s="64" t="str">
        <x:v>Primary outcome</x:v>
      </x:c>
      <x:c r="B17" s="62" t="str">
        <x:v>Treatment-control late-cancellation rate; NCNS, fill, time to fill, and access remain guardrails</x:v>
      </x:c>
      <x:c r="C17" s="62"/>
      <x:c r="D17" s="62"/>
      <x:c r="E17" s="62"/>
      <x:c r="F17" s="62"/>
    </x:row>
    <x:row r="20" ht="22" customHeight="1">
      <x:c r="A20" s="80" t="str">
        <x:v>What this workbook establishes</x:v>
      </x:c>
      <x:c r="B20" s="80" t="str">
        <x:v>What this workbook establishes</x:v>
      </x:c>
      <x:c r="C20" s="80" t="str">
        <x:v>What this workbook establishes</x:v>
      </x:c>
      <x:c r="D20" s="80" t="str">
        <x:v>What this workbook establishes</x:v>
      </x:c>
      <x:c r="E20" s="80" t="str">
        <x:v>What this workbook establishes</x:v>
      </x:c>
      <x:c r="F20" s="80" t="str">
        <x:v>What this workbook establishes</x:v>
      </x:c>
    </x:row>
    <x:row r="21">
      <x:c r="A21" s="99" t="str">
        <x:v>The public workbook preserves the calculation trail from the 41,040-shift baseline to the selected timing window and time-aware HCP-history screen. Rates are formula-derived from displayed aggregate numerators and denominators. The comparisons are descriptive and observational; only the randomized pilot can estimate the effect of preferred access.</x:v>
      </x:c>
      <x:c r="B21" s="100"/>
      <x:c r="C21" s="100"/>
      <x:c r="D21" s="100"/>
      <x:c r="E21" s="100"/>
      <x:c r="F21" s="101"/>
    </x:row>
    <x:row r="22">
      <x:c r="A22" s="102"/>
      <x:c r="B22" s="103"/>
      <x:c r="C22" s="103"/>
      <x:c r="D22" s="103"/>
      <x:c r="E22" s="103"/>
      <x:c r="F22" s="104"/>
    </x:row>
    <x:row r="23">
      <x:c r="A23" s="102"/>
      <x:c r="B23" s="103"/>
      <x:c r="C23" s="103"/>
      <x:c r="D23" s="103"/>
      <x:c r="E23" s="103"/>
      <x:c r="F23" s="104"/>
    </x:row>
    <x:row r="24">
      <x:c r="A24" s="102"/>
      <x:c r="B24" s="103"/>
      <x:c r="C24" s="103"/>
      <x:c r="D24" s="103"/>
      <x:c r="E24" s="103"/>
      <x:c r="F24" s="104"/>
    </x:row>
    <x:row r="25">
      <x:c r="A25" s="102"/>
      <x:c r="B25" s="103"/>
      <x:c r="C25" s="103"/>
      <x:c r="D25" s="103"/>
      <x:c r="E25" s="103"/>
      <x:c r="F25" s="104"/>
    </x:row>
    <x:row r="26">
      <x:c r="A26" s="102"/>
      <x:c r="B26" s="103"/>
      <x:c r="C26" s="103"/>
      <x:c r="D26" s="103"/>
      <x:c r="E26" s="103"/>
      <x:c r="F26" s="104"/>
    </x:row>
    <x:row r="27">
      <x:c r="A27" s="105"/>
      <x:c r="B27" s="106"/>
      <x:c r="C27" s="106"/>
      <x:c r="D27" s="106"/>
      <x:c r="E27" s="106"/>
      <x:c r="F27" s="107"/>
    </x:row>
    <x:row r="30" ht="22" customHeight="1">
      <x:c r="A30" s="80" t="str">
        <x:v>Reading order</x:v>
      </x:c>
      <x:c r="B30" s="80" t="str">
        <x:v>Reading order</x:v>
      </x:c>
      <x:c r="C30" s="80" t="str">
        <x:v>Reading order</x:v>
      </x:c>
      <x:c r="D30" s="80" t="str">
        <x:v>Reading order</x:v>
      </x:c>
      <x:c r="E30" s="80" t="str">
        <x:v>Reading order</x:v>
      </x:c>
      <x:c r="F30" s="80" t="str">
        <x:v>Reading order</x:v>
      </x:c>
      <x:c r="G30" s="80" t="str">
        <x:v>Reading order</x:v>
      </x:c>
      <x:c r="H30" s="80" t="str">
        <x:v>Reading order</x:v>
      </x:c>
      <x:c r="I30" s="80" t="str">
        <x:v>Reading order</x:v>
      </x:c>
      <x:c r="J30" s="80" t="str">
        <x:v>Reading order</x:v>
      </x:c>
      <x:c r="K30" s="80" t="str">
        <x:v>Reading order</x:v>
      </x:c>
      <x:c r="L30" s="80" t="str">
        <x:v>Reading order</x:v>
      </x:c>
    </x:row>
    <x:row r="31">
      <x:c r="A31" s="99" t="str">
        <x:v>01 Data Preparation documents the raw, cleaned, joined, and aggregate layers. 02 Explorer Tables preserves the full screening set. 03 Timing Analysis and 04 Pilot Rule contain the evidence carried into the proposal. 05 Analysis Path records what was selected, supported, or deprioritized. 06 Checks exposes reconciliations. 07 Methodology &amp; Dictionary defines the terms and limits.</x:v>
      </x:c>
      <x:c r="B31" s="100"/>
      <x:c r="C31" s="100"/>
      <x:c r="D31" s="100"/>
      <x:c r="E31" s="100"/>
      <x:c r="F31" s="100"/>
      <x:c r="G31" s="100"/>
      <x:c r="H31" s="100"/>
      <x:c r="I31" s="100"/>
      <x:c r="J31" s="100"/>
      <x:c r="K31" s="100"/>
      <x:c r="L31" s="101"/>
    </x:row>
    <x:row r="32">
      <x:c r="A32" s="102"/>
      <x:c r="B32" s="103"/>
      <x:c r="C32" s="103"/>
      <x:c r="D32" s="103"/>
      <x:c r="E32" s="103"/>
      <x:c r="F32" s="103"/>
      <x:c r="G32" s="103"/>
      <x:c r="H32" s="103"/>
      <x:c r="I32" s="103"/>
      <x:c r="J32" s="103"/>
      <x:c r="K32" s="103"/>
      <x:c r="L32" s="104"/>
    </x:row>
    <x:row r="33">
      <x:c r="A33" s="105"/>
      <x:c r="B33" s="106"/>
      <x:c r="C33" s="106"/>
      <x:c r="D33" s="106"/>
      <x:c r="E33" s="106"/>
      <x:c r="F33" s="106"/>
      <x:c r="G33" s="106"/>
      <x:c r="H33" s="106"/>
      <x:c r="I33" s="106"/>
      <x:c r="J33" s="106"/>
      <x:c r="K33" s="106"/>
      <x:c r="L33" s="107"/>
    </x:row>
  </x:sheetData>
  <x:mergeCells>
    <x:mergeCell ref="A1:L2"/>
    <x:mergeCell ref="A3:L4"/>
    <x:mergeCell ref="A6:C6"/>
    <x:mergeCell ref="A7:C8"/>
    <x:mergeCell ref="D6:F6"/>
    <x:mergeCell ref="D7:F8"/>
    <x:mergeCell ref="G6:I6"/>
    <x:mergeCell ref="G7:I8"/>
    <x:mergeCell ref="J6:L6"/>
    <x:mergeCell ref="J7:L8"/>
    <x:mergeCell ref="A11:F11"/>
    <x:mergeCell ref="B12:F12"/>
    <x:mergeCell ref="B13:F13"/>
    <x:mergeCell ref="B14:F14"/>
    <x:mergeCell ref="B15:F15"/>
    <x:mergeCell ref="B16:F16"/>
    <x:mergeCell ref="B17:F17"/>
    <x:mergeCell ref="G11:L11"/>
    <x:mergeCell ref="A20:F20"/>
    <x:mergeCell ref="A21:F27"/>
    <x:mergeCell ref="A30:L30"/>
    <x:mergeCell ref="A31:L33"/>
  </x:mergeCells>
  <x:pageMargins left="0.7" right="0.7" top="0.75" bottom="0.75" header="0.3" footer="0.3"/>
  <x:drawing xmlns:r="http://schemas.openxmlformats.org/officeDocument/2006/relationships" r:id="Rd632cd7be1274ad4"/>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24" hidden="0" customWidth="1"/>
    <x:col min="3" max="3" width="42" hidden="0" customWidth="1"/>
    <x:col min="4" max="4" width="42" hidden="0" customWidth="1"/>
    <x:col min="5" max="5" width="24" hidden="0" customWidth="1"/>
    <x:col min="6" max="6" width="14" hidden="0" customWidth="1"/>
    <x:col min="7" max="7" width="14" hidden="0" customWidth="1"/>
    <x:col min="8" max="8" width="14" hidden="0" customWidth="1"/>
  </x:cols>
  <x:sheetData>
    <x:row r="1" ht="34" customHeight="1">
      <x:c r="A1" s="4" t="str">
        <x:v>Data preparation and lineage</x:v>
      </x:c>
      <x:c r="B1" s="4" t="str">
        <x:v>Data preparation and lineage</x:v>
      </x:c>
      <x:c r="C1" s="4" t="str">
        <x:v>Data preparation and lineage</x:v>
      </x:c>
      <x:c r="D1" s="4" t="str">
        <x:v>Data preparation and lineage</x:v>
      </x:c>
      <x:c r="E1" s="4" t="str">
        <x:v>Data preparation and lineage</x:v>
      </x:c>
      <x:c r="F1" s="4" t="str">
        <x:v>Data preparation and lineage</x:v>
      </x:c>
      <x:c r="G1" s="4" t="str">
        <x:v>Data preparation and lineage</x:v>
      </x:c>
      <x:c r="H1" s="4" t="str">
        <x:v>Data preparation and lineage</x:v>
      </x:c>
    </x:row>
    <x:row r="2" ht="34" customHeight="1">
      <x:c r="A2" s="4" t="str">
        <x:v>Data preparation and lineage</x:v>
      </x:c>
      <x:c r="B2" s="4" t="str">
        <x:v>Data preparation and lineage</x:v>
      </x:c>
      <x:c r="C2" s="4" t="str">
        <x:v>Data preparation and lineage</x:v>
      </x:c>
      <x:c r="D2" s="4" t="str">
        <x:v>Data preparation and lineage</x:v>
      </x:c>
      <x:c r="E2" s="4" t="str">
        <x:v>Data preparation and lineage</x:v>
      </x:c>
      <x:c r="F2" s="4" t="str">
        <x:v>Data preparation and lineage</x:v>
      </x:c>
      <x:c r="G2" s="4" t="str">
        <x:v>Data preparation and lineage</x:v>
      </x:c>
      <x:c r="H2" s="4" t="str">
        <x:v>Data preparation and lineage</x:v>
      </x:c>
    </x:row>
    <x:row r="3" ht="24" customHeight="1">
      <x:c r="A3" s="8" t="str">
        <x:v>The row-level workbooks remain private. This sheet documents their structure, validation results, and approved transformation rules without reproducing supplied records.</x:v>
      </x:c>
      <x:c r="B3" s="8" t="str">
        <x:v>The row-level workbooks remain private. This sheet documents their structure, validation results, and approved transformation rules without reproducing supplied records.</x:v>
      </x:c>
      <x:c r="C3" s="8" t="str">
        <x:v>The row-level workbooks remain private. This sheet documents their structure, validation results, and approved transformation rules without reproducing supplied records.</x:v>
      </x:c>
      <x:c r="D3" s="8" t="str">
        <x:v>The row-level workbooks remain private. This sheet documents their structure, validation results, and approved transformation rules without reproducing supplied records.</x:v>
      </x:c>
      <x:c r="E3" s="8" t="str">
        <x:v>The row-level workbooks remain private. This sheet documents their structure, validation results, and approved transformation rules without reproducing supplied records.</x:v>
      </x:c>
      <x:c r="F3" s="8" t="str">
        <x:v>The row-level workbooks remain private. This sheet documents their structure, validation results, and approved transformation rules without reproducing supplied records.</x:v>
      </x:c>
      <x:c r="G3" s="8" t="str">
        <x:v>The row-level workbooks remain private. This sheet documents their structure, validation results, and approved transformation rules without reproducing supplied records.</x:v>
      </x:c>
      <x:c r="H3" s="8" t="str">
        <x:v>The row-level workbooks remain private. This sheet documents their structure, validation results, and approved transformation rules without reproducing supplied records.</x:v>
      </x:c>
    </x:row>
    <x:row r="4" ht="24" customHeight="1">
      <x:c r="A4" s="8" t="str">
        <x:v>The row-level workbooks remain private. This sheet documents their structure, validation results, and approved transformation rules without reproducing supplied records.</x:v>
      </x:c>
      <x:c r="B4" s="8" t="str">
        <x:v>The row-level workbooks remain private. This sheet documents their structure, validation results, and approved transformation rules without reproducing supplied records.</x:v>
      </x:c>
      <x:c r="C4" s="8" t="str">
        <x:v>The row-level workbooks remain private. This sheet documents their structure, validation results, and approved transformation rules without reproducing supplied records.</x:v>
      </x:c>
      <x:c r="D4" s="8" t="str">
        <x:v>The row-level workbooks remain private. This sheet documents their structure, validation results, and approved transformation rules without reproducing supplied records.</x:v>
      </x:c>
      <x:c r="E4" s="8" t="str">
        <x:v>The row-level workbooks remain private. This sheet documents their structure, validation results, and approved transformation rules without reproducing supplied records.</x:v>
      </x:c>
      <x:c r="F4" s="8" t="str">
        <x:v>The row-level workbooks remain private. This sheet documents their structure, validation results, and approved transformation rules without reproducing supplied records.</x:v>
      </x:c>
      <x:c r="G4" s="8" t="str">
        <x:v>The row-level workbooks remain private. This sheet documents their structure, validation results, and approved transformation rules without reproducing supplied records.</x:v>
      </x:c>
      <x:c r="H4" s="8" t="str">
        <x:v>The row-level workbooks remain private. This sheet documents their structure, validation results, and approved transformation rules without reproducing supplied records.</x:v>
      </x:c>
    </x:row>
    <x:row r="5" ht="22" customHeight="1">
      <x:c r="A5" s="80" t="str">
        <x:v>Source profile</x:v>
      </x:c>
      <x:c r="B5" s="80" t="str">
        <x:v>Source profile</x:v>
      </x:c>
      <x:c r="C5" s="80" t="str">
        <x:v>Source profile</x:v>
      </x:c>
      <x:c r="D5" s="80" t="str">
        <x:v>Source profile</x:v>
      </x:c>
      <x:c r="E5" s="80" t="str">
        <x:v>Source profile</x:v>
      </x:c>
      <x:c r="F5" s="80" t="str">
        <x:v>Source profile</x:v>
      </x:c>
      <x:c r="G5" s="80" t="str">
        <x:v>Source profile</x:v>
      </x:c>
      <x:c r="H5" s="80" t="str">
        <x:v>Source profile</x:v>
      </x:c>
    </x:row>
    <x:row r="6" ht="28" customHeight="1">
      <x:c r="A6" s="70" t="str">
        <x:v>Logical source</x:v>
      </x:c>
      <x:c r="B6" s="70" t="str">
        <x:v>Rows</x:v>
      </x:c>
      <x:c r="C6" s="70" t="str">
        <x:v>Columns</x:v>
      </x:c>
      <x:c r="D6" s="70" t="str">
        <x:v>Grain</x:v>
      </x:c>
      <x:c r="E6" s="70" t="str">
        <x:v>Candidate primary key</x:v>
      </x:c>
      <x:c r="F6" s="70" t="str">
        <x:v>Exact duplicate rows</x:v>
      </x:c>
    </x:row>
    <x:row r="7">
      <x:c r="A7" s="62" t="str">
        <x:v>Shift log</x:v>
      </x:c>
      <x:c r="B7" s="75" t="n">
        <x:v>41040</x:v>
      </x:c>
      <x:c r="C7" s="75" t="n">
        <x:v>12</x:v>
      </x:c>
      <x:c r="D7" s="62" t="str">
        <x:v>One posted shift</x:v>
      </x:c>
      <x:c r="E7" s="62" t="str">
        <x:v>Shift ID</x:v>
      </x:c>
      <x:c r="F7" s="75" t="n">
        <x:v>0</x:v>
      </x:c>
    </x:row>
    <x:row r="8">
      <x:c r="A8" s="62" t="str">
        <x:v>Booking-event log</x:v>
      </x:c>
      <x:c r="B8" s="75" t="n">
        <x:v>127005</x:v>
      </x:c>
      <x:c r="C8" s="75" t="n">
        <x:v>7</x:v>
      </x:c>
      <x:c r="D8" s="62" t="str">
        <x:v>One booking action</x:v>
      </x:c>
      <x:c r="E8" s="62" t="str">
        <x:v>Action ID</x:v>
      </x:c>
      <x:c r="F8" s="75" t="n">
        <x:v>0</x:v>
      </x:c>
    </x:row>
    <x:row r="9">
      <x:c r="A9" s="62" t="str">
        <x:v>Cancellation-event log</x:v>
      </x:c>
      <x:c r="B9" s="75" t="n">
        <x:v>78073</x:v>
      </x:c>
      <x:c r="C9" s="75" t="n">
        <x:v>8</x:v>
      </x:c>
      <x:c r="D9" s="62" t="str">
        <x:v>One cancellation or NCNS action</x:v>
      </x:c>
      <x:c r="E9" s="62" t="str">
        <x:v>Action ID</x:v>
      </x:c>
      <x:c r="F9" s="75" t="n">
        <x:v>0</x:v>
      </x:c>
    </x:row>
    <x:row r="12" ht="22" customHeight="1">
      <x:c r="A12" s="80" t="str">
        <x:v>Prepared data flow</x:v>
      </x:c>
      <x:c r="B12" s="80" t="str">
        <x:v>Prepared data flow</x:v>
      </x:c>
      <x:c r="C12" s="80" t="str">
        <x:v>Prepared data flow</x:v>
      </x:c>
      <x:c r="D12" s="80" t="str">
        <x:v>Prepared data flow</x:v>
      </x:c>
      <x:c r="E12" s="80" t="str">
        <x:v>Prepared data flow</x:v>
      </x:c>
      <x:c r="F12" s="80" t="str">
        <x:v>Prepared data flow</x:v>
      </x:c>
      <x:c r="G12" s="80" t="str">
        <x:v>Prepared data flow</x:v>
      </x:c>
      <x:c r="H12" s="80" t="str">
        <x:v>Prepared data flow</x:v>
      </x:c>
    </x:row>
    <x:row r="13" ht="28" customHeight="1">
      <x:c r="A13" s="70" t="str">
        <x:v>Layer</x:v>
      </x:c>
      <x:c r="B13" s="70" t="str">
        <x:v>Grain</x:v>
      </x:c>
      <x:c r="C13" s="70" t="str">
        <x:v>What was done</x:v>
      </x:c>
      <x:c r="D13" s="70" t="str">
        <x:v>Public treatment</x:v>
      </x:c>
      <x:c r="E13" s="70" t="str">
        <x:v>Status</x:v>
      </x:c>
      <x:c r="F13"/>
      <x:c r="G13"/>
      <x:c r="H13"/>
    </x:row>
    <x:row r="14">
      <x:c r="A14" s="62" t="str">
        <x:v>1. Raw sources</x:v>
      </x:c>
      <x:c r="B14" s="62" t="str">
        <x:v>Supplied rows</x:v>
      </x:c>
      <x:c r="C14" s="62" t="str">
        <x:v>Kept unchanged</x:v>
      </x:c>
      <x:c r="D14" s="62" t="str">
        <x:v>Withheld</x:v>
      </x:c>
      <x:c r="E14" s="109" t="str">
        <x:v>Verified</x:v>
      </x:c>
      <x:c r="F14"/>
      <x:c r="G14"/>
      <x:c r="H14"/>
    </x:row>
    <x:row r="15">
      <x:c r="A15" s="62" t="str">
        <x:v>2. Prepared events</x:v>
      </x:c>
      <x:c r="B15" s="62" t="str">
        <x:v>Booking and cancellation events</x:v>
      </x:c>
      <x:c r="C15" s="62" t="str">
        <x:v>Normalized date display; preserved all rows; added reversible quality and market-match flags</x:v>
      </x:c>
      <x:c r="D15" s="62" t="str">
        <x:v>Withheld</x:v>
      </x:c>
      <x:c r="E15" s="109" t="str">
        <x:v>Verified</x:v>
      </x:c>
      <x:c r="F15"/>
      <x:c r="G15"/>
      <x:c r="H15"/>
    </x:row>
    <x:row r="16">
      <x:c r="A16" s="62" t="str">
        <x:v>3. Shift mart</x:v>
      </x:c>
      <x:c r="B16" s="62" t="str">
        <x:v>One row per Metro A Shift ID</x:v>
      </x:c>
      <x:c r="C16" s="62" t="str">
        <x:v>Joined aggregate event features to the 41,040-shift population</x:v>
      </x:c>
      <x:c r="D16" s="62" t="str">
        <x:v>Withheld</x:v>
      </x:c>
      <x:c r="E16" s="109" t="str">
        <x:v>41,040 unique rows</x:v>
      </x:c>
      <x:c r="F16"/>
      <x:c r="G16"/>
      <x:c r="H16"/>
    </x:row>
    <x:row r="17">
      <x:c r="A17" s="62" t="str">
        <x:v>4. Aggregate evidence</x:v>
      </x:c>
      <x:c r="B17" s="62" t="str">
        <x:v>Published count tables</x:v>
      </x:c>
      <x:c r="C17" s="62" t="str">
        <x:v>Calculated rates and reconciliations from displayed numerators and denominators</x:v>
      </x:c>
      <x:c r="D17" s="62" t="str">
        <x:v>Included here</x:v>
      </x:c>
      <x:c r="E17" s="109" t="str">
        <x:v>Formula-backed</x:v>
      </x:c>
      <x:c r="F17"/>
      <x:c r="G17"/>
      <x:c r="H17"/>
    </x:row>
    <x:row r="18">
      <x:c r="A18" s="62" t="str">
        <x:v>5. Time-aware rule</x:v>
      </x:c>
      <x:c r="B18" s="62" t="str">
        <x:v>Target-window booking decision</x:v>
      </x:c>
      <x:c r="C18" s="62" t="str">
        <x:v>Used only history resolved before each booking; excluded the booked shift from its own history</x:v>
      </x:c>
      <x:c r="D18" s="62" t="str">
        <x:v>Included as aggregates</x:v>
      </x:c>
      <x:c r="E18" s="109" t="str">
        <x:v>Formula-backed</x:v>
      </x:c>
      <x:c r="F18"/>
      <x:c r="G18"/>
      <x:c r="H18"/>
    </x:row>
    <x:row r="21" ht="22" customHeight="1">
      <x:c r="A21" s="80" t="str">
        <x:v>Event-log scope and joined-mart bridge</x:v>
      </x:c>
      <x:c r="B21" s="80" t="str">
        <x:v>Event-log scope and joined-mart bridge</x:v>
      </x:c>
      <x:c r="C21" s="80" t="str">
        <x:v>Event-log scope and joined-mart bridge</x:v>
      </x:c>
      <x:c r="D21" s="80" t="str">
        <x:v>Event-log scope and joined-mart bridge</x:v>
      </x:c>
      <x:c r="E21" s="80" t="str">
        <x:v>Event-log scope and joined-mart bridge</x:v>
      </x:c>
      <x:c r="F21" s="80" t="str">
        <x:v>Event-log scope and joined-mart bridge</x:v>
      </x:c>
      <x:c r="G21" s="80" t="str">
        <x:v>Event-log scope and joined-mart bridge</x:v>
      </x:c>
      <x:c r="H21" s="80" t="str">
        <x:v>Event-log scope and joined-mart bridge</x:v>
      </x:c>
    </x:row>
    <x:row r="22" ht="28" customHeight="1">
      <x:c r="A22" s="70" t="str">
        <x:v>Event source</x:v>
      </x:c>
      <x:c r="B22" s="70" t="str">
        <x:v>All event rows</x:v>
      </x:c>
      <x:c r="C22" s="70" t="str">
        <x:v>Matching event rows</x:v>
      </x:c>
      <x:c r="D22" s="70" t="str">
        <x:v>Metro A shifts with a match</x:v>
      </x:c>
      <x:c r="E22" s="70" t="str">
        <x:v>Treatment</x:v>
      </x:c>
    </x:row>
    <x:row r="23">
      <x:c r="A23" s="62" t="str">
        <x:v>Booking events</x:v>
      </x:c>
      <x:c r="B23" s="75" t="n">
        <x:v>127005</x:v>
      </x:c>
      <x:c r="C23" s="75" t="n">
        <x:v>11162</x:v>
      </x:c>
      <x:c r="D23" s="75" t="n">
        <x:v>9387</x:v>
      </x:c>
      <x:c r="E23" s="62" t="str">
        <x:v>Retain all privately; use matching Shift IDs in the shift mart</x:v>
      </x:c>
    </x:row>
    <x:row r="24">
      <x:c r="A24" s="62" t="str">
        <x:v>Cancellation events</x:v>
      </x:c>
      <x:c r="B24" s="75" t="n">
        <x:v>78073</x:v>
      </x:c>
      <x:c r="C24" s="75" t="n">
        <x:v>7780</x:v>
      </x:c>
      <x:c r="D24" s="75" t="n">
        <x:v>6535</x:v>
      </x:c>
      <x:c r="E24" s="62" t="str">
        <x:v>Retain all privately; use matching Shift IDs in the shift mart</x:v>
      </x:c>
    </x:row>
    <x:row r="25">
      <x:c r="A25" s="62" t="str">
        <x:v>Shift population</x:v>
      </x:c>
      <x:c r="B25" s="75" t="n">
        <x:v>41040</x:v>
      </x:c>
      <x:c r="C25" s="75" t="n">
        <x:v>41040</x:v>
      </x:c>
      <x:c r="D25" s="75" t="n">
        <x:v>41040</x:v>
      </x:c>
      <x:c r="E25" s="62" t="str">
        <x:v>One public denominator for shift-level rates</x:v>
      </x:c>
    </x:row>
    <x:row r="27">
      <x:c r="A27" s="99" t="str">
        <x:v>Why scope the event logs? The booking and cancellation files include Shift IDs outside the Metro A shift log. Joining all event rows to a Metro A denominator would mix populations. The private prepared files preserve every event; the shift mart attaches only events whose Shift ID appears in the 41,040-shift analysis population.</x:v>
      </x:c>
      <x:c r="B27" s="100"/>
      <x:c r="C27" s="100"/>
      <x:c r="D27" s="100"/>
      <x:c r="E27" s="100"/>
      <x:c r="F27" s="100"/>
      <x:c r="G27" s="100"/>
      <x:c r="H27" s="101"/>
    </x:row>
    <x:row r="28">
      <x:c r="A28" s="102"/>
      <x:c r="B28" s="103"/>
      <x:c r="C28" s="103"/>
      <x:c r="D28" s="103"/>
      <x:c r="E28" s="103"/>
      <x:c r="F28" s="103"/>
      <x:c r="G28" s="103"/>
      <x:c r="H28" s="104"/>
    </x:row>
    <x:row r="29">
      <x:c r="A29" s="105"/>
      <x:c r="B29" s="106"/>
      <x:c r="C29" s="106"/>
      <x:c r="D29" s="106"/>
      <x:c r="E29" s="106"/>
      <x:c r="F29" s="106"/>
      <x:c r="G29" s="106"/>
      <x:c r="H29" s="107"/>
    </x:row>
    <x:row r="32" ht="22" customHeight="1">
      <x:c r="A32" s="80" t="str">
        <x:v>Approved preparation rules</x:v>
      </x:c>
      <x:c r="B32" s="80" t="str">
        <x:v>Approved preparation rules</x:v>
      </x:c>
      <x:c r="C32" s="80" t="str">
        <x:v>Approved preparation rules</x:v>
      </x:c>
      <x:c r="D32" s="80" t="str">
        <x:v>Approved preparation rules</x:v>
      </x:c>
      <x:c r="E32" s="80" t="str">
        <x:v>Approved preparation rules</x:v>
      </x:c>
      <x:c r="F32" s="80" t="str">
        <x:v>Approved preparation rules</x:v>
      </x:c>
      <x:c r="G32" s="80" t="str">
        <x:v>Approved preparation rules</x:v>
      </x:c>
      <x:c r="H32" s="80" t="str">
        <x:v>Approved preparation rules</x:v>
      </x:c>
    </x:row>
    <x:row r="33" ht="28" customHeight="1">
      <x:c r="A33" s="70" t="str">
        <x:v>Condition</x:v>
      </x:c>
      <x:c r="B33" s="70" t="str">
        <x:v>Observed</x:v>
      </x:c>
      <x:c r="C33" s="70" t="str">
        <x:v>Treatment</x:v>
      </x:c>
      <x:c r="D33" s="70" t="str">
        <x:v>Reason</x:v>
      </x:c>
    </x:row>
    <x:row r="34">
      <x:c r="A34" s="62" t="str">
        <x:v>Missing HCP ID</x:v>
      </x:c>
      <x:c r="B34" s="62" t="str">
        <x:v>20,035 shifts; 140 booking events; 191 cancellation events</x:v>
      </x:c>
      <x:c r="C34" s="62" t="str">
        <x:v>Preserve blank; add missing flag; do not impute</x:v>
      </x:c>
      <x:c r="D34" s="62" t="str">
        <x:v>The source does not support a defensible replacement</x:v>
      </x:c>
    </x:row>
    <x:row r="35">
      <x:c r="A35" s="62" t="str">
        <x:v>Repeated Shift IDs in event logs</x:v>
      </x:c>
      <x:c r="B35" s="62" t="str">
        <x:v>Expected at event grain</x:v>
      </x:c>
      <x:c r="C35" s="62" t="str">
        <x:v>Preserve every event; never deduplicate on Shift ID alone</x:v>
      </x:c>
      <x:c r="D35" s="62" t="str">
        <x:v>Action ID is the event key</x:v>
      </x:c>
    </x:row>
    <x:row r="36">
      <x:c r="A36" s="62" t="str">
        <x:v>Date-time fields</x:v>
      </x:c>
      <x:c r="B36" s="62" t="str">
        <x:v>Mixed display</x:v>
      </x:c>
      <x:c r="C36" s="62" t="str">
        <x:v>Preserve value; display as yyyy-mm-dd hh:mm</x:v>
      </x:c>
      <x:c r="D36" s="62" t="str">
        <x:v>Keep chronology readable and sortable</x:v>
      </x:c>
    </x:row>
    <x:row r="37">
      <x:c r="A37" s="62" t="str">
        <x:v>Custom shift type</x:v>
      </x:c>
      <x:c r="B37" s="62" t="str">
        <x:v>1,411 shifts</x:v>
      </x:c>
      <x:c r="C37" s="62" t="str">
        <x:v>Preserve as Custom</x:v>
      </x:c>
      <x:c r="D37" s="62" t="str">
        <x:v>It is a supplied category</x:v>
      </x:c>
    </x:row>
    <x:row r="38">
      <x:c r="A38" s="62" t="str">
        <x:v>Sparse Deleted field</x:v>
      </x:c>
      <x:c r="B38" s="62" t="str">
        <x:v>13,982 values of 1; 27,058 blanks</x:v>
      </x:c>
      <x:c r="C38" s="62" t="str">
        <x:v>Preserve raw; derive facility-deleted flag</x:v>
      </x:c>
      <x:c r="D38" s="62" t="str">
        <x:v>A reversible interpretation</x:v>
      </x:c>
    </x:row>
    <x:row r="39">
      <x:c r="A39" s="62" t="str">
        <x:v>Scheduled duration</x:v>
      </x:c>
      <x:c r="B39" s="62" t="str">
        <x:v>22 negative raw values; 79 zero; 39,620 differ from End minus Start by &gt;0.02h</x:v>
      </x:c>
      <x:c r="C39" s="62" t="str">
        <x:v>Preserve raw Time; calculate duration as End minus Start</x:v>
      </x:c>
      <x:c r="D39" s="62" t="str">
        <x:v>Keep source and derived measure separate</x:v>
      </x:c>
    </x:row>
    <x:row r="40">
      <x:c r="A40" s="62" t="str">
        <x:v>Zero hourly charge</x:v>
      </x:c>
      <x:c r="B40" s="62" t="str">
        <x:v>5,019 shifts</x:v>
      </x:c>
      <x:c r="C40" s="62" t="str">
        <x:v>Preserve and flag; do not infer a cause</x:v>
      </x:c>
      <x:c r="D40" s="62" t="str">
        <x:v>Zero may be valid or unexplained</x:v>
      </x:c>
    </x:row>
    <x:row r="41">
      <x:c r="A41" s="62" t="str">
        <x:v>Negative lead time</x:v>
      </x:c>
      <x:c r="B41" s="62" t="str">
        <x:v>3,329 booking events; 11,966 cancellation events</x:v>
      </x:c>
      <x:c r="C41" s="62" t="str">
        <x:v>Preserve and flag; exclude only from retained timing bands</x:v>
      </x:c>
      <x:c r="D41" s="62" t="str">
        <x:v>The condition is ambiguous, not automatically an error</x:v>
      </x:c>
    </x:row>
    <x:row r="42">
      <x:c r="A42" s="62" t="str">
        <x:v>Missing shift start</x:v>
      </x:c>
      <x:c r="B42" s="62" t="str">
        <x:v>1 shift</x:v>
      </x:c>
      <x:c r="C42" s="62" t="str">
        <x:v>Preserve and flag; exclude only where start time is required</x:v>
      </x:c>
      <x:c r="D42" s="62" t="str">
        <x:v>Avoid unnecessary row deletion</x:v>
      </x:c>
    </x:row>
    <x:row r="44">
      <x:c r="A44" s="128" t="str">
        <x:v>Publication boundary: the assessment did not grant redistribution permission. The public repository therefore contains the schema, methodology, aggregate count tables, formulas, and checks—but no supplied, cleaned, or joined row-level operational records.</x:v>
      </x:c>
      <x:c r="B44" s="129"/>
      <x:c r="C44" s="129"/>
      <x:c r="D44" s="129"/>
      <x:c r="E44" s="129"/>
      <x:c r="F44" s="129"/>
      <x:c r="G44" s="129"/>
      <x:c r="H44" s="130"/>
    </x:row>
    <x:row r="45">
      <x:c r="A45" s="131"/>
      <x:c r="B45" s="132"/>
      <x:c r="C45" s="132"/>
      <x:c r="D45" s="132"/>
      <x:c r="E45" s="132"/>
      <x:c r="F45" s="132"/>
      <x:c r="G45" s="132"/>
      <x:c r="H45" s="133"/>
    </x:row>
    <x:row r="46">
      <x:c r="A46" s="134"/>
      <x:c r="B46" s="135"/>
      <x:c r="C46" s="135"/>
      <x:c r="D46" s="135"/>
      <x:c r="E46" s="135"/>
      <x:c r="F46" s="135"/>
      <x:c r="G46" s="135"/>
      <x:c r="H46" s="136"/>
    </x:row>
  </x:sheetData>
  <x:mergeCells>
    <x:mergeCell ref="A1:H2"/>
    <x:mergeCell ref="A3:H4"/>
    <x:mergeCell ref="A5:H5"/>
    <x:mergeCell ref="A12:H12"/>
    <x:mergeCell ref="A21:H21"/>
    <x:mergeCell ref="A27:H29"/>
    <x:mergeCell ref="A32:H32"/>
    <x:mergeCell ref="A44:H46"/>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8" hidden="0" customWidth="1"/>
    <x:col min="2" max="2" width="15" hidden="0" customWidth="1"/>
    <x:col min="3" max="3" width="18" hidden="0" customWidth="1"/>
    <x:col min="4" max="4" width="16" hidden="0" customWidth="1"/>
    <x:col min="5" max="5" width="17" hidden="0" customWidth="1"/>
    <x:col min="6" max="6" width="15" hidden="0" customWidth="1"/>
    <x:col min="7" max="7" width="14" hidden="0" customWidth="1"/>
  </x:cols>
  <x:sheetData>
    <x:row r="1" ht="34" customHeight="1">
      <x:c r="A1" s="4" t="str">
        <x:v>Exploratory screening tables</x:v>
      </x:c>
      <x:c r="B1" s="4" t="str">
        <x:v>Exploratory screening tables</x:v>
      </x:c>
      <x:c r="C1" s="4" t="str">
        <x:v>Exploratory screening tables</x:v>
      </x:c>
      <x:c r="D1" s="4" t="str">
        <x:v>Exploratory screening tables</x:v>
      </x:c>
      <x:c r="E1" s="4" t="str">
        <x:v>Exploratory screening tables</x:v>
      </x:c>
      <x:c r="F1" s="4" t="str">
        <x:v>Exploratory screening tables</x:v>
      </x:c>
      <x:c r="G1" s="4" t="str">
        <x:v>Exploratory screening tables</x:v>
      </x:c>
    </x:row>
    <x:row r="2" ht="34" customHeight="1">
      <x:c r="A2" s="4" t="str">
        <x:v>Exploratory screening tables</x:v>
      </x:c>
      <x:c r="B2" s="4" t="str">
        <x:v>Exploratory screening tables</x:v>
      </x:c>
      <x:c r="C2" s="4" t="str">
        <x:v>Exploratory screening tables</x:v>
      </x:c>
      <x:c r="D2" s="4" t="str">
        <x:v>Exploratory screening tables</x:v>
      </x:c>
      <x:c r="E2" s="4" t="str">
        <x:v>Exploratory screening tables</x:v>
      </x:c>
      <x:c r="F2" s="4" t="str">
        <x:v>Exploratory screening tables</x:v>
      </x:c>
      <x:c r="G2" s="4" t="str">
        <x:v>Exploratory screening tables</x:v>
      </x:c>
    </x:row>
    <x:row r="3" ht="24" customHeight="1">
      <x:c r="A3" s="8" t="str">
        <x:v>These aggregate screens preserve the broader analysis trail. They identify associations and data exceptions; they do not establish motives or causal mechanisms.</x:v>
      </x:c>
      <x:c r="B3" s="8" t="str">
        <x:v>These aggregate screens preserve the broader analysis trail. They identify associations and data exceptions; they do not establish motives or causal mechanisms.</x:v>
      </x:c>
      <x:c r="C3" s="8" t="str">
        <x:v>These aggregate screens preserve the broader analysis trail. They identify associations and data exceptions; they do not establish motives or causal mechanisms.</x:v>
      </x:c>
      <x:c r="D3" s="8" t="str">
        <x:v>These aggregate screens preserve the broader analysis trail. They identify associations and data exceptions; they do not establish motives or causal mechanisms.</x:v>
      </x:c>
      <x:c r="E3" s="8" t="str">
        <x:v>These aggregate screens preserve the broader analysis trail. They identify associations and data exceptions; they do not establish motives or causal mechanisms.</x:v>
      </x:c>
      <x:c r="F3" s="8" t="str">
        <x:v>These aggregate screens preserve the broader analysis trail. They identify associations and data exceptions; they do not establish motives or causal mechanisms.</x:v>
      </x:c>
      <x:c r="G3" s="8" t="str">
        <x:v>These aggregate screens preserve the broader analysis trail. They identify associations and data exceptions; they do not establish motives or causal mechanisms.</x:v>
      </x:c>
    </x:row>
    <x:row r="4" ht="24" customHeight="1">
      <x:c r="A4" s="8" t="str">
        <x:v>These aggregate screens preserve the broader analysis trail. They identify associations and data exceptions; they do not establish motives or causal mechanisms.</x:v>
      </x:c>
      <x:c r="B4" s="8" t="str">
        <x:v>These aggregate screens preserve the broader analysis trail. They identify associations and data exceptions; they do not establish motives or causal mechanisms.</x:v>
      </x:c>
      <x:c r="C4" s="8" t="str">
        <x:v>These aggregate screens preserve the broader analysis trail. They identify associations and data exceptions; they do not establish motives or causal mechanisms.</x:v>
      </x:c>
      <x:c r="D4" s="8" t="str">
        <x:v>These aggregate screens preserve the broader analysis trail. They identify associations and data exceptions; they do not establish motives or causal mechanisms.</x:v>
      </x:c>
      <x:c r="E4" s="8" t="str">
        <x:v>These aggregate screens preserve the broader analysis trail. They identify associations and data exceptions; they do not establish motives or causal mechanisms.</x:v>
      </x:c>
      <x:c r="F4" s="8" t="str">
        <x:v>These aggregate screens preserve the broader analysis trail. They identify associations and data exceptions; they do not establish motives or causal mechanisms.</x:v>
      </x:c>
      <x:c r="G4" s="8" t="str">
        <x:v>These aggregate screens preserve the broader analysis trail. They identify associations and data exceptions; they do not establish motives or causal mechanisms.</x:v>
      </x:c>
    </x:row>
    <x:row r="5" ht="22" customHeight="1">
      <x:c r="A5" s="80" t="str">
        <x:v>B-01 and B-02 | Baseline outcomes</x:v>
      </x:c>
      <x:c r="B5" s="80" t="str">
        <x:v>B-01 and B-02 | Baseline outcomes</x:v>
      </x:c>
      <x:c r="C5" s="80" t="str">
        <x:v>B-01 and B-02 | Baseline outcomes</x:v>
      </x:c>
      <x:c r="D5" s="80" t="str">
        <x:v>B-01 and B-02 | Baseline outcomes</x:v>
      </x:c>
      <x:c r="E5" s="80" t="str">
        <x:v>B-01 and B-02 | Baseline outcomes</x:v>
      </x:c>
      <x:c r="F5" s="80" t="str">
        <x:v>B-01 and B-02 | Baseline outcomes</x:v>
      </x:c>
      <x:c r="G5" s="80" t="str">
        <x:v>B-01 and B-02 | Baseline outcomes</x:v>
      </x:c>
    </x:row>
    <x:row r="6" ht="28" customHeight="1">
      <x:c r="A6" s="70" t="str">
        <x:v>Metric</x:v>
      </x:c>
      <x:c r="B6" s="70" t="str">
        <x:v>Affected shifts</x:v>
      </x:c>
      <x:c r="C6" s="70" t="str">
        <x:v>All Metro A shifts</x:v>
      </x:c>
      <x:c r="D6" s="70" t="str">
        <x:v>Rate</x:v>
      </x:c>
    </x:row>
    <x:row r="7">
      <x:c r="A7" s="73" t="str">
        <x:v>Late HCP cancellation</x:v>
      </x:c>
      <x:c r="B7" s="73" t="n">
        <x:v>2486</x:v>
      </x:c>
      <x:c r="C7" s="73" t="n">
        <x:v>41040</x:v>
      </x:c>
      <x:c r="D7" s="76" t="n">
        <x:f>B7/C7</x:f>
        <x:v>0.06057504873294347</x:v>
      </x:c>
    </x:row>
    <x:row r="8">
      <x:c r="A8" s="62" t="str">
        <x:v>NCNS</x:v>
      </x:c>
      <x:c r="B8" s="62" t="n">
        <x:v>1253</x:v>
      </x:c>
      <x:c r="C8" s="62" t="n">
        <x:v>41040</x:v>
      </x:c>
      <x:c r="D8" s="77" t="n">
        <x:f>B8/C8</x:f>
        <x:v>0.030531189083820662</x:v>
      </x:c>
    </x:row>
    <x:row r="10" ht="22" customHeight="1">
      <x:c r="A10" s="80" t="str">
        <x:v>B-03 | Shift-level outcome overlap</x:v>
      </x:c>
      <x:c r="B10" s="80" t="str">
        <x:v>B-03 | Shift-level outcome overlap</x:v>
      </x:c>
      <x:c r="C10" s="80" t="str">
        <x:v>B-03 | Shift-level outcome overlap</x:v>
      </x:c>
      <x:c r="D10" s="80" t="str">
        <x:v>B-03 | Shift-level outcome overlap</x:v>
      </x:c>
      <x:c r="E10" s="80" t="str">
        <x:v>B-03 | Shift-level outcome overlap</x:v>
      </x:c>
      <x:c r="F10" s="80" t="str">
        <x:v>B-03 | Shift-level outcome overlap</x:v>
      </x:c>
      <x:c r="G10" s="80" t="str">
        <x:v>B-03 | Shift-level outcome overlap</x:v>
      </x:c>
    </x:row>
    <x:row r="11" ht="28" customHeight="1">
      <x:c r="A11" s="70" t="str">
        <x:v>Late-cancellation flag</x:v>
      </x:c>
      <x:c r="B11" s="70" t="str">
        <x:v>NCNS absent</x:v>
      </x:c>
      <x:c r="C11" s="70" t="str">
        <x:v>NCNS present</x:v>
      </x:c>
      <x:c r="D11" s="70" t="str">
        <x:v>Total</x:v>
      </x:c>
    </x:row>
    <x:row r="12">
      <x:c r="A12" s="62" t="str">
        <x:v>Absent</x:v>
      </x:c>
      <x:c r="B12" s="62" t="n">
        <x:v>37368</x:v>
      </x:c>
      <x:c r="C12" s="62" t="n">
        <x:v>1186</x:v>
      </x:c>
      <x:c r="D12" s="62" t="n">
        <x:f>B12+C12</x:f>
        <x:v>38554</x:v>
      </x:c>
    </x:row>
    <x:row r="13">
      <x:c r="A13" s="62" t="str">
        <x:v>Present</x:v>
      </x:c>
      <x:c r="B13" s="62" t="n">
        <x:v>2419</x:v>
      </x:c>
      <x:c r="C13" s="62" t="n">
        <x:v>67</x:v>
      </x:c>
      <x:c r="D13" s="62" t="n">
        <x:f>B13+C13</x:f>
        <x:v>2486</x:v>
      </x:c>
    </x:row>
    <x:row r="14">
      <x:c r="A14" s="140" t="str">
        <x:v>Total</x:v>
      </x:c>
      <x:c r="B14" s="140" t="n">
        <x:f>SUM(B12:B13)</x:f>
        <x:v>39787</x:v>
      </x:c>
      <x:c r="C14" s="140" t="n">
        <x:f>SUM(C12:C13)</x:f>
        <x:v>1253</x:v>
      </x:c>
      <x:c r="D14" s="140" t="n">
        <x:f>SUM(D12:D13)</x:f>
        <x:v>41040</x:v>
      </x:c>
    </x:row>
    <x:row r="17" ht="22" customHeight="1">
      <x:c r="A17" s="80" t="str">
        <x:v>C-01 | Reliability by matching booking-event count</x:v>
      </x:c>
      <x:c r="B17" s="80" t="str">
        <x:v>C-01 | Reliability by matching booking-event count</x:v>
      </x:c>
      <x:c r="C17" s="80" t="str">
        <x:v>C-01 | Reliability by matching booking-event count</x:v>
      </x:c>
      <x:c r="D17" s="80" t="str">
        <x:v>C-01 | Reliability by matching booking-event count</x:v>
      </x:c>
      <x:c r="E17" s="80" t="str">
        <x:v>C-01 | Reliability by matching booking-event count</x:v>
      </x:c>
      <x:c r="F17" s="80" t="str">
        <x:v>C-01 | Reliability by matching booking-event count</x:v>
      </x:c>
      <x:c r="G17" s="80" t="str">
        <x:v>C-01 | Reliability by matching booking-event count</x:v>
      </x:c>
    </x:row>
    <x:row r="18" ht="28" customHeight="1">
      <x:c r="A18" s="70" t="str">
        <x:v>Matching booking events</x:v>
      </x:c>
      <x:c r="B18" s="70" t="str">
        <x:v>Shifts</x:v>
      </x:c>
      <x:c r="C18" s="70" t="str">
        <x:v>Late-cancel shifts</x:v>
      </x:c>
      <x:c r="D18" s="70" t="str">
        <x:v>NCNS shifts</x:v>
      </x:c>
      <x:c r="E18" s="70" t="str">
        <x:v>Late-cancel rate</x:v>
      </x:c>
      <x:c r="F18" s="70" t="str">
        <x:v>NCNS rate</x:v>
      </x:c>
    </x:row>
    <x:row r="19">
      <x:c r="A19" s="62" t="str">
        <x:v>0</x:v>
      </x:c>
      <x:c r="B19" s="62" t="n">
        <x:v>31653</x:v>
      </x:c>
      <x:c r="C19" s="62" t="n">
        <x:v>1554</x:v>
      </x:c>
      <x:c r="D19" s="62" t="n">
        <x:v>878</x:v>
      </x:c>
      <x:c r="E19" s="77" t="n">
        <x:f>C19/B19</x:f>
        <x:v>0.04909487252393138</x:v>
      </x:c>
      <x:c r="F19" s="77" t="n">
        <x:f>D19/B19</x:f>
        <x:v>0.02773828705020061</x:v>
      </x:c>
    </x:row>
    <x:row r="20">
      <x:c r="A20" s="62" t="str">
        <x:v>1</x:v>
      </x:c>
      <x:c r="B20" s="62" t="n">
        <x:v>7875</x:v>
      </x:c>
      <x:c r="C20" s="62" t="n">
        <x:v>588</x:v>
      </x:c>
      <x:c r="D20" s="62" t="n">
        <x:v>289</x:v>
      </x:c>
      <x:c r="E20" s="77" t="n">
        <x:f>C20/B20</x:f>
        <x:v>0.07466666666666667</x:v>
      </x:c>
      <x:c r="F20" s="77" t="n">
        <x:f>D20/B20</x:f>
        <x:v>0.036698412698412695</x:v>
      </x:c>
    </x:row>
    <x:row r="21">
      <x:c r="A21" s="62" t="str">
        <x:v>2</x:v>
      </x:c>
      <x:c r="B21" s="62" t="n">
        <x:v>1286</x:v>
      </x:c>
      <x:c r="C21" s="62" t="n">
        <x:v>271</x:v>
      </x:c>
      <x:c r="D21" s="62" t="n">
        <x:v>75</x:v>
      </x:c>
      <x:c r="E21" s="77" t="n">
        <x:f>C21/B21</x:f>
        <x:v>0.21073094867807154</x:v>
      </x:c>
      <x:c r="F21" s="77" t="n">
        <x:f>D21/B21</x:f>
        <x:v>0.0583203732503888</x:v>
      </x:c>
    </x:row>
    <x:row r="22">
      <x:c r="A22" s="62" t="str">
        <x:v>3+</x:v>
      </x:c>
      <x:c r="B22" s="62" t="n">
        <x:v>226</x:v>
      </x:c>
      <x:c r="C22" s="62" t="n">
        <x:v>73</x:v>
      </x:c>
      <x:c r="D22" s="62" t="n">
        <x:v>11</x:v>
      </x:c>
      <x:c r="E22" s="77" t="n">
        <x:f>C22/B22</x:f>
        <x:v>0.3230088495575221</x:v>
      </x:c>
      <x:c r="F22" s="77" t="n">
        <x:f>D22/B22</x:f>
        <x:v>0.048672566371681415</x:v>
      </x:c>
    </x:row>
    <x:row r="24" ht="22" customHeight="1">
      <x:c r="A24" s="80" t="str">
        <x:v>C-02 | Reliability by distinct booked-HCP count</x:v>
      </x:c>
      <x:c r="B24" s="80" t="str">
        <x:v>C-02 | Reliability by distinct booked-HCP count</x:v>
      </x:c>
      <x:c r="C24" s="80" t="str">
        <x:v>C-02 | Reliability by distinct booked-HCP count</x:v>
      </x:c>
      <x:c r="D24" s="80" t="str">
        <x:v>C-02 | Reliability by distinct booked-HCP count</x:v>
      </x:c>
      <x:c r="E24" s="80" t="str">
        <x:v>C-02 | Reliability by distinct booked-HCP count</x:v>
      </x:c>
      <x:c r="F24" s="80" t="str">
        <x:v>C-02 | Reliability by distinct booked-HCP count</x:v>
      </x:c>
      <x:c r="G24" s="80" t="str">
        <x:v>C-02 | Reliability by distinct booked-HCP count</x:v>
      </x:c>
    </x:row>
    <x:row r="25" ht="28" customHeight="1">
      <x:c r="A25" s="70" t="str">
        <x:v>Distinct booked HCPs</x:v>
      </x:c>
      <x:c r="B25" s="70" t="str">
        <x:v>Shifts</x:v>
      </x:c>
      <x:c r="C25" s="70" t="str">
        <x:v>Late-cancel shifts</x:v>
      </x:c>
      <x:c r="D25" s="70" t="str">
        <x:v>NCNS shifts</x:v>
      </x:c>
      <x:c r="E25" s="70" t="str">
        <x:v>Late-cancel rate</x:v>
      </x:c>
      <x:c r="F25" s="70" t="str">
        <x:v>NCNS rate</x:v>
      </x:c>
    </x:row>
    <x:row r="26">
      <x:c r="A26" s="62" t="str">
        <x:v>0</x:v>
      </x:c>
      <x:c r="B26" s="62" t="n">
        <x:v>31654</x:v>
      </x:c>
      <x:c r="C26" s="62" t="n">
        <x:v>1554</x:v>
      </x:c>
      <x:c r="D26" s="62" t="n">
        <x:v>878</x:v>
      </x:c>
      <x:c r="E26" s="77" t="n">
        <x:f>C26/B26</x:f>
        <x:v>0.04909332153914197</x:v>
      </x:c>
      <x:c r="F26" s="77" t="n">
        <x:f>D26/B26</x:f>
        <x:v>0.027737410753775196</x:v>
      </x:c>
    </x:row>
    <x:row r="27">
      <x:c r="A27" s="62" t="str">
        <x:v>1</x:v>
      </x:c>
      <x:c r="B27" s="62" t="n">
        <x:v>7995</x:v>
      </x:c>
      <x:c r="C27" s="62" t="n">
        <x:v>611</x:v>
      </x:c>
      <x:c r="D27" s="62" t="n">
        <x:v>303</x:v>
      </x:c>
      <x:c r="E27" s="77" t="n">
        <x:f>C27/B27</x:f>
        <x:v>0.07642276422764227</x:v>
      </x:c>
      <x:c r="F27" s="77" t="n">
        <x:f>D27/B27</x:f>
        <x:v>0.03789868667917448</x:v>
      </x:c>
    </x:row>
    <x:row r="28">
      <x:c r="A28" s="62" t="str">
        <x:v>2</x:v>
      </x:c>
      <x:c r="B28" s="62" t="n">
        <x:v>1235</x:v>
      </x:c>
      <x:c r="C28" s="62" t="n">
        <x:v>266</x:v>
      </x:c>
      <x:c r="D28" s="62" t="n">
        <x:v>64</x:v>
      </x:c>
      <x:c r="E28" s="77" t="n">
        <x:f>C28/B28</x:f>
        <x:v>0.2153846153846154</x:v>
      </x:c>
      <x:c r="F28" s="77" t="n">
        <x:f>D28/B28</x:f>
        <x:v>0.051821862348178135</x:v>
      </x:c>
    </x:row>
    <x:row r="29">
      <x:c r="A29" s="62" t="str">
        <x:v>3+</x:v>
      </x:c>
      <x:c r="B29" s="62" t="n">
        <x:v>156</x:v>
      </x:c>
      <x:c r="C29" s="62" t="n">
        <x:v>55</x:v>
      </x:c>
      <x:c r="D29" s="62" t="n">
        <x:v>8</x:v>
      </x:c>
      <x:c r="E29" s="77" t="n">
        <x:f>C29/B29</x:f>
        <x:v>0.3525641025641026</x:v>
      </x:c>
      <x:c r="F29" s="77" t="n">
        <x:f>D29/B29</x:f>
        <x:v>0.05128205128205128</x:v>
      </x:c>
    </x:row>
    <x:row r="31" ht="22" customHeight="1">
      <x:c r="A31" s="80" t="str">
        <x:v>C-04A | Reliability by shift type</x:v>
      </x:c>
      <x:c r="B31" s="80" t="str">
        <x:v>C-04A | Reliability by shift type</x:v>
      </x:c>
      <x:c r="C31" s="80" t="str">
        <x:v>C-04A | Reliability by shift type</x:v>
      </x:c>
      <x:c r="D31" s="80" t="str">
        <x:v>C-04A | Reliability by shift type</x:v>
      </x:c>
      <x:c r="E31" s="80" t="str">
        <x:v>C-04A | Reliability by shift type</x:v>
      </x:c>
      <x:c r="F31" s="80" t="str">
        <x:v>C-04A | Reliability by shift type</x:v>
      </x:c>
      <x:c r="G31" s="80" t="str">
        <x:v>C-04A | Reliability by shift type</x:v>
      </x:c>
    </x:row>
    <x:row r="32" ht="28" customHeight="1">
      <x:c r="A32" s="70" t="str">
        <x:v>Shift type</x:v>
      </x:c>
      <x:c r="B32" s="70" t="str">
        <x:v>Shifts</x:v>
      </x:c>
      <x:c r="C32" s="70" t="str">
        <x:v>Late-cancel shifts</x:v>
      </x:c>
      <x:c r="D32" s="70" t="str">
        <x:v>NCNS shifts</x:v>
      </x:c>
      <x:c r="E32" s="70" t="str">
        <x:v>Late-cancel rate</x:v>
      </x:c>
      <x:c r="F32" s="70" t="str">
        <x:v>NCNS rate</x:v>
      </x:c>
    </x:row>
    <x:row r="33">
      <x:c r="A33" s="62" t="str">
        <x:v>PM</x:v>
      </x:c>
      <x:c r="B33" s="62" t="n">
        <x:v>14232</x:v>
      </x:c>
      <x:c r="C33" s="62" t="n">
        <x:v>867</x:v>
      </x:c>
      <x:c r="D33" s="62" t="n">
        <x:v>401</x:v>
      </x:c>
      <x:c r="E33" s="77" t="n">
        <x:f>C33/B33</x:f>
        <x:v>0.06091905564924115</x:v>
      </x:c>
      <x:c r="F33" s="77" t="n">
        <x:f>D33/B33</x:f>
        <x:v>0.028175941540191117</x:v>
      </x:c>
    </x:row>
    <x:row r="34">
      <x:c r="A34" s="62" t="str">
        <x:v>Morning</x:v>
      </x:c>
      <x:c r="B34" s="62" t="n">
        <x:v>13951</x:v>
      </x:c>
      <x:c r="C34" s="62" t="n">
        <x:v>790</x:v>
      </x:c>
      <x:c r="D34" s="62" t="n">
        <x:v>501</x:v>
      </x:c>
      <x:c r="E34" s="77" t="n">
        <x:f>C34/B34</x:f>
        <x:v>0.05662676510644398</x:v>
      </x:c>
      <x:c r="F34" s="77" t="n">
        <x:f>D34/B34</x:f>
        <x:v>0.03591140420041574</x:v>
      </x:c>
    </x:row>
    <x:row r="35">
      <x:c r="A35" s="62" t="str">
        <x:v>Overnight</x:v>
      </x:c>
      <x:c r="B35" s="62" t="n">
        <x:v>11446</x:v>
      </x:c>
      <x:c r="C35" s="62" t="n">
        <x:v>784</x:v>
      </x:c>
      <x:c r="D35" s="62" t="n">
        <x:v>315</x:v>
      </x:c>
      <x:c r="E35" s="77" t="n">
        <x:f>C35/B35</x:f>
        <x:v>0.0684955442949502</x:v>
      </x:c>
      <x:c r="F35" s="77" t="n">
        <x:f>D35/B35</x:f>
        <x:v>0.02752053118993535</x:v>
      </x:c>
    </x:row>
    <x:row r="36">
      <x:c r="A36" s="62" t="str">
        <x:v>Custom</x:v>
      </x:c>
      <x:c r="B36" s="62" t="n">
        <x:v>1411</x:v>
      </x:c>
      <x:c r="C36" s="62" t="n">
        <x:v>45</x:v>
      </x:c>
      <x:c r="D36" s="62" t="n">
        <x:v>36</x:v>
      </x:c>
      <x:c r="E36" s="77" t="n">
        <x:f>C36/B36</x:f>
        <x:v>0.031892274982282066</x:v>
      </x:c>
      <x:c r="F36" s="77" t="n">
        <x:f>D36/B36</x:f>
        <x:v>0.025513819985825654</x:v>
      </x:c>
    </x:row>
    <x:row r="38" ht="22" customHeight="1">
      <x:c r="A38" s="80" t="str">
        <x:v>C-04B | Reliability by professional type</x:v>
      </x:c>
      <x:c r="B38" s="80" t="str">
        <x:v>C-04B | Reliability by professional type</x:v>
      </x:c>
      <x:c r="C38" s="80" t="str">
        <x:v>C-04B | Reliability by professional type</x:v>
      </x:c>
      <x:c r="D38" s="80" t="str">
        <x:v>C-04B | Reliability by professional type</x:v>
      </x:c>
      <x:c r="E38" s="80" t="str">
        <x:v>C-04B | Reliability by professional type</x:v>
      </x:c>
      <x:c r="F38" s="80" t="str">
        <x:v>C-04B | Reliability by professional type</x:v>
      </x:c>
      <x:c r="G38" s="80" t="str">
        <x:v>C-04B | Reliability by professional type</x:v>
      </x:c>
    </x:row>
    <x:row r="39" ht="28" customHeight="1">
      <x:c r="A39" s="70" t="str">
        <x:v>Professional type</x:v>
      </x:c>
      <x:c r="B39" s="70" t="str">
        <x:v>Shifts</x:v>
      </x:c>
      <x:c r="C39" s="70" t="str">
        <x:v>Late-cancel shifts</x:v>
      </x:c>
      <x:c r="D39" s="70" t="str">
        <x:v>NCNS shifts</x:v>
      </x:c>
      <x:c r="E39" s="70" t="str">
        <x:v>Late-cancel rate</x:v>
      </x:c>
      <x:c r="F39" s="70" t="str">
        <x:v>NCNS rate</x:v>
      </x:c>
    </x:row>
    <x:row r="40">
      <x:c r="A40" s="62" t="str">
        <x:v>CNA</x:v>
      </x:c>
      <x:c r="B40" s="62" t="n">
        <x:v>24662</x:v>
      </x:c>
      <x:c r="C40" s="62" t="n">
        <x:v>1854</x:v>
      </x:c>
      <x:c r="D40" s="62" t="n">
        <x:v>1040</x:v>
      </x:c>
      <x:c r="E40" s="77" t="n">
        <x:f>C40/B40</x:f>
        <x:v>0.07517638472143379</x:v>
      </x:c>
      <x:c r="F40" s="77" t="n">
        <x:f>D40/B40</x:f>
        <x:v>0.04217014029681291</x:v>
      </x:c>
    </x:row>
    <x:row r="41">
      <x:c r="A41" s="62" t="str">
        <x:v>LVN</x:v>
      </x:c>
      <x:c r="B41" s="62" t="n">
        <x:v>11277</x:v>
      </x:c>
      <x:c r="C41" s="62" t="n">
        <x:v>441</x:v>
      </x:c>
      <x:c r="D41" s="62" t="n">
        <x:v>147</x:v>
      </x:c>
      <x:c r="E41" s="77" t="n">
        <x:f>C41/B41</x:f>
        <x:v>0.03910614525139665</x:v>
      </x:c>
      <x:c r="F41" s="77" t="n">
        <x:f>D41/B41</x:f>
        <x:v>0.01303538175046555</x:v>
      </x:c>
    </x:row>
    <x:row r="42">
      <x:c r="A42" s="62" t="str">
        <x:v>RN</x:v>
      </x:c>
      <x:c r="B42" s="62" t="n">
        <x:v>3139</x:v>
      </x:c>
      <x:c r="C42" s="62" t="n">
        <x:v>56</x:v>
      </x:c>
      <x:c r="D42" s="62" t="n">
        <x:v>13</x:v>
      </x:c>
      <x:c r="E42" s="77" t="n">
        <x:f>C42/B42</x:f>
        <x:v>0.017840076457470534</x:v>
      </x:c>
      <x:c r="F42" s="77" t="n">
        <x:f>D42/B42</x:f>
        <x:v>0.00414144632048423</x:v>
      </x:c>
    </x:row>
    <x:row r="43">
      <x:c r="A43" s="62" t="str">
        <x:v>NURSE</x:v>
      </x:c>
      <x:c r="B43" s="62" t="n">
        <x:v>1907</x:v>
      </x:c>
      <x:c r="C43" s="62" t="n">
        <x:v>134</x:v>
      </x:c>
      <x:c r="D43" s="62" t="n">
        <x:v>50</x:v>
      </x:c>
      <x:c r="E43" s="77" t="n">
        <x:f>C43/B43</x:f>
        <x:v>0.0702674357629785</x:v>
      </x:c>
      <x:c r="F43" s="77" t="n">
        <x:f>D43/B43</x:f>
        <x:v>0.026219192448872573</x:v>
      </x:c>
    </x:row>
    <x:row r="44">
      <x:c r="A44" s="62" t="str">
        <x:v>CAREGIVER</x:v>
      </x:c>
      <x:c r="B44" s="62" t="n">
        <x:v>31</x:v>
      </x:c>
      <x:c r="C44" s="62" t="n">
        <x:v>1</x:v>
      </x:c>
      <x:c r="D44" s="62" t="n">
        <x:v>3</x:v>
      </x:c>
      <x:c r="E44" s="77" t="n">
        <x:f>C44/B44</x:f>
        <x:v>0.03225806451612903</x:v>
      </x:c>
      <x:c r="F44" s="77" t="n">
        <x:f>D44/B44</x:f>
        <x:v>0.0967741935483871</x:v>
      </x:c>
    </x:row>
    <x:row r="45">
      <x:c r="A45" s="62" t="str">
        <x:v>Medical Technician</x:v>
      </x:c>
      <x:c r="B45" s="62" t="n">
        <x:v>12</x:v>
      </x:c>
      <x:c r="C45" s="62" t="n">
        <x:v>0</x:v>
      </x:c>
      <x:c r="D45" s="62" t="n">
        <x:v>0</x:v>
      </x:c>
      <x:c r="E45" s="77" t="n">
        <x:f>C45/B45</x:f>
        <x:v>0</x:v>
      </x:c>
      <x:c r="F45" s="77" t="n">
        <x:f>D45/B45</x:f>
        <x:v>0</x:v>
      </x:c>
    </x:row>
    <x:row r="46">
      <x:c r="A46" s="62" t="str">
        <x:v>PT</x:v>
      </x:c>
      <x:c r="B46" s="62" t="n">
        <x:v>9</x:v>
      </x:c>
      <x:c r="C46" s="62" t="n">
        <x:v>0</x:v>
      </x:c>
      <x:c r="D46" s="62" t="n">
        <x:v>0</x:v>
      </x:c>
      <x:c r="E46" s="77" t="n">
        <x:f>C46/B46</x:f>
        <x:v>0</x:v>
      </x:c>
      <x:c r="F46" s="77" t="n">
        <x:f>D46/B46</x:f>
        <x:v>0</x:v>
      </x:c>
    </x:row>
    <x:row r="47">
      <x:c r="A47" s="62" t="str">
        <x:v>Medical Aide</x:v>
      </x:c>
      <x:c r="B47" s="62" t="n">
        <x:v>3</x:v>
      </x:c>
      <x:c r="C47" s="62" t="n">
        <x:v>0</x:v>
      </x:c>
      <x:c r="D47" s="62" t="n">
        <x:v>0</x:v>
      </x:c>
      <x:c r="E47" s="77" t="n">
        <x:f>C47/B47</x:f>
        <x:v>0</x:v>
      </x:c>
      <x:c r="F47" s="77" t="n">
        <x:f>D47/B47</x:f>
        <x:v>0</x:v>
      </x:c>
    </x:row>
    <x:row r="49" ht="22" customHeight="1">
      <x:c r="A49" s="80" t="str">
        <x:v>C-06 | Negative booking-lead-time exception</x:v>
      </x:c>
      <x:c r="B49" s="80" t="str">
        <x:v>C-06 | Negative booking-lead-time exception</x:v>
      </x:c>
      <x:c r="C49" s="80" t="str">
        <x:v>C-06 | Negative booking-lead-time exception</x:v>
      </x:c>
      <x:c r="D49" s="80" t="str">
        <x:v>C-06 | Negative booking-lead-time exception</x:v>
      </x:c>
      <x:c r="E49" s="80" t="str">
        <x:v>C-06 | Negative booking-lead-time exception</x:v>
      </x:c>
      <x:c r="F49" s="80" t="str">
        <x:v>C-06 | Negative booking-lead-time exception</x:v>
      </x:c>
      <x:c r="G49" s="80" t="str">
        <x:v>C-06 | Negative booking-lead-time exception</x:v>
      </x:c>
    </x:row>
    <x:row r="50" ht="28" customHeight="1">
      <x:c r="A50" s="70" t="str">
        <x:v>Negative lead-time event</x:v>
      </x:c>
      <x:c r="B50" s="70" t="str">
        <x:v>Shifts</x:v>
      </x:c>
      <x:c r="C50" s="70" t="str">
        <x:v>Late-cancel shifts</x:v>
      </x:c>
      <x:c r="D50" s="70" t="str">
        <x:v>NCNS shifts</x:v>
      </x:c>
      <x:c r="E50" s="70" t="str">
        <x:v>Late-cancel rate</x:v>
      </x:c>
      <x:c r="F50" s="70" t="str">
        <x:v>NCNS rate</x:v>
      </x:c>
    </x:row>
    <x:row r="51">
      <x:c r="A51" s="62" t="str">
        <x:v>No</x:v>
      </x:c>
      <x:c r="B51" s="62" t="n">
        <x:v>40904</x:v>
      </x:c>
      <x:c r="C51" s="62" t="n">
        <x:v>2471</x:v>
      </x:c>
      <x:c r="D51" s="62" t="n">
        <x:v>1232</x:v>
      </x:c>
      <x:c r="E51" s="77" t="n">
        <x:f>C51/B51</x:f>
        <x:v>0.060409739878740466</x:v>
      </x:c>
      <x:c r="F51" s="77" t="n">
        <x:f>D51/B51</x:f>
        <x:v>0.030119303735575982</x:v>
      </x:c>
    </x:row>
    <x:row r="52">
      <x:c r="A52" s="62" t="str">
        <x:v>Yes</x:v>
      </x:c>
      <x:c r="B52" s="62" t="n">
        <x:v>136</x:v>
      </x:c>
      <x:c r="C52" s="62" t="n">
        <x:v>15</x:v>
      </x:c>
      <x:c r="D52" s="62" t="n">
        <x:v>21</x:v>
      </x:c>
      <x:c r="E52" s="77" t="n">
        <x:f>C52/B52</x:f>
        <x:v>0.11029411764705882</x:v>
      </x:c>
      <x:c r="F52" s="77" t="n">
        <x:f>D52/B52</x:f>
        <x:v>0.15441176470588236</x:v>
      </x:c>
    </x:row>
    <x:row r="54" ht="22" customHeight="1">
      <x:c r="A54" s="80" t="str">
        <x:v>D-01 | Strict event-order screen</x:v>
      </x:c>
      <x:c r="B54" s="80" t="str">
        <x:v>D-01 | Strict event-order screen</x:v>
      </x:c>
      <x:c r="C54" s="80" t="str">
        <x:v>D-01 | Strict event-order screen</x:v>
      </x:c>
      <x:c r="D54" s="80" t="str">
        <x:v>D-01 | Strict event-order screen</x:v>
      </x:c>
      <x:c r="E54" s="80" t="str">
        <x:v>D-01 | Strict event-order screen</x:v>
      </x:c>
      <x:c r="F54" s="80" t="str">
        <x:v>D-01 | Strict event-order screen</x:v>
      </x:c>
      <x:c r="G54" s="80" t="str">
        <x:v>D-01 | Strict event-order screen</x:v>
      </x:c>
    </x:row>
    <x:row r="55" ht="28" customHeight="1">
      <x:c r="A55" s="70" t="str">
        <x:v>Observed pathway</x:v>
      </x:c>
      <x:c r="B55" s="70" t="str">
        <x:v>Shifts</x:v>
      </x:c>
      <x:c r="C55" s="70" t="str">
        <x:v>Share of Metro A shifts</x:v>
      </x:c>
    </x:row>
    <x:row r="56">
      <x:c r="A56" s="62" t="str">
        <x:v>No late HCP cancellation event</x:v>
      </x:c>
      <x:c r="B56" s="62" t="n">
        <x:v>38554</x:v>
      </x:c>
      <x:c r="C56" s="77" t="n">
        <x:f>B56/41040</x:f>
        <x:v>0.9394249512670565</x:v>
      </x:c>
    </x:row>
    <x:row r="57">
      <x:c r="A57" s="62" t="str">
        <x:v>Late cancellation; no later booking event</x:v>
      </x:c>
      <x:c r="B57" s="62" t="n">
        <x:v>2226</x:v>
      </x:c>
      <x:c r="C57" s="77" t="n">
        <x:f>B57/41040</x:f>
        <x:v>0.054239766081871345</x:v>
      </x:c>
    </x:row>
    <x:row r="58">
      <x:c r="A58" s="62" t="str">
        <x:v>Late cancellation → later booking; no later NCNS</x:v>
      </x:c>
      <x:c r="B58" s="62" t="n">
        <x:v>241</x:v>
      </x:c>
      <x:c r="C58" s="77" t="n">
        <x:f>B58/41040</x:f>
        <x:v>0.005872319688109162</x:v>
      </x:c>
    </x:row>
    <x:row r="59">
      <x:c r="A59" s="62" t="str">
        <x:v>Late cancellation → later booking → later NCNS</x:v>
      </x:c>
      <x:c r="B59" s="62" t="n">
        <x:v>19</x:v>
      </x:c>
      <x:c r="C59" s="77" t="n">
        <x:f>B59/41040</x:f>
        <x:v>0.000462962962962963</x:v>
      </x:c>
    </x:row>
    <x:row r="61" ht="22" customHeight="1">
      <x:c r="A61" s="80" t="str">
        <x:v>D-02 | Booking-history breakdown</x:v>
      </x:c>
      <x:c r="B61" s="80" t="str">
        <x:v>D-02 | Booking-history breakdown</x:v>
      </x:c>
      <x:c r="C61" s="80" t="str">
        <x:v>D-02 | Booking-history breakdown</x:v>
      </x:c>
      <x:c r="D61" s="80" t="str">
        <x:v>D-02 | Booking-history breakdown</x:v>
      </x:c>
      <x:c r="E61" s="80" t="str">
        <x:v>D-02 | Booking-history breakdown</x:v>
      </x:c>
      <x:c r="F61" s="80" t="str">
        <x:v>D-02 | Booking-history breakdown</x:v>
      </x:c>
      <x:c r="G61" s="80" t="str">
        <x:v>D-02 | Booking-history breakdown</x:v>
      </x:c>
    </x:row>
    <x:row r="62" ht="28" customHeight="1">
      <x:c r="A62" s="70" t="str">
        <x:v>Booking-history group</x:v>
      </x:c>
      <x:c r="B62" s="70" t="str">
        <x:v>Shifts</x:v>
      </x:c>
      <x:c r="C62" s="70" t="str">
        <x:v>Late-cancel shifts</x:v>
      </x:c>
      <x:c r="D62" s="70" t="str">
        <x:v>NCNS shifts</x:v>
      </x:c>
      <x:c r="E62" s="70" t="str">
        <x:v>Late-cancel rate</x:v>
      </x:c>
      <x:c r="F62" s="70" t="str">
        <x:v>NCNS rate</x:v>
      </x:c>
    </x:row>
    <x:row r="63">
      <x:c r="A63" s="62" t="str">
        <x:v>0 matching booking events</x:v>
      </x:c>
      <x:c r="B63" s="62" t="n">
        <x:v>31653</x:v>
      </x:c>
      <x:c r="C63" s="62" t="n">
        <x:v>1554</x:v>
      </x:c>
      <x:c r="D63" s="62" t="n">
        <x:v>878</x:v>
      </x:c>
      <x:c r="E63" s="77" t="n">
        <x:f>C63/B63</x:f>
        <x:v>0.04909487252393138</x:v>
      </x:c>
      <x:c r="F63" s="77" t="n">
        <x:f>D63/B63</x:f>
        <x:v>0.02773828705020061</x:v>
      </x:c>
    </x:row>
    <x:row r="64">
      <x:c r="A64" s="62" t="str">
        <x:v>1 matching booking event</x:v>
      </x:c>
      <x:c r="B64" s="62" t="n">
        <x:v>7875</x:v>
      </x:c>
      <x:c r="C64" s="62" t="n">
        <x:v>588</x:v>
      </x:c>
      <x:c r="D64" s="62" t="n">
        <x:v>289</x:v>
      </x:c>
      <x:c r="E64" s="77" t="n">
        <x:f>C64/B64</x:f>
        <x:v>0.07466666666666667</x:v>
      </x:c>
      <x:c r="F64" s="77" t="n">
        <x:f>D64/B64</x:f>
        <x:v>0.036698412698412695</x:v>
      </x:c>
    </x:row>
    <x:row r="65">
      <x:c r="A65" s="62" t="str">
        <x:v>2+ events; 1 booked HCP</x:v>
      </x:c>
      <x:c r="B65" s="62" t="n">
        <x:v>121</x:v>
      </x:c>
      <x:c r="C65" s="62" t="n">
        <x:v>23</x:v>
      </x:c>
      <x:c r="D65" s="62" t="n">
        <x:v>14</x:v>
      </x:c>
      <x:c r="E65" s="77" t="n">
        <x:f>C65/B65</x:f>
        <x:v>0.19008264462809918</x:v>
      </x:c>
      <x:c r="F65" s="77" t="n">
        <x:f>D65/B65</x:f>
        <x:v>0.11570247933884298</x:v>
      </x:c>
    </x:row>
    <x:row r="66">
      <x:c r="A66" s="62" t="str">
        <x:v>2+ events; 2+ booked HCPs</x:v>
      </x:c>
      <x:c r="B66" s="62" t="n">
        <x:v>1391</x:v>
      </x:c>
      <x:c r="C66" s="62" t="n">
        <x:v>321</x:v>
      </x:c>
      <x:c r="D66" s="62" t="n">
        <x:v>72</x:v>
      </x:c>
      <x:c r="E66" s="77" t="n">
        <x:f>C66/B66</x:f>
        <x:v>0.23076923076923078</x:v>
      </x:c>
      <x:c r="F66" s="77" t="n">
        <x:f>D66/B66</x:f>
        <x:v>0.05176132278936017</x:v>
      </x:c>
    </x:row>
    <x:row r="68" ht="22" customHeight="1">
      <x:c r="A68" s="80" t="str">
        <x:v>C-05 | Facility screen (public summary)</x:v>
      </x:c>
      <x:c r="B68" s="80" t="str">
        <x:v>C-05 | Facility screen (public summary)</x:v>
      </x:c>
      <x:c r="C68" s="80" t="str">
        <x:v>C-05 | Facility screen (public summary)</x:v>
      </x:c>
      <x:c r="D68" s="80" t="str">
        <x:v>C-05 | Facility screen (public summary)</x:v>
      </x:c>
      <x:c r="E68" s="80" t="str">
        <x:v>C-05 | Facility screen (public summary)</x:v>
      </x:c>
      <x:c r="F68" s="80" t="str">
        <x:v>C-05 | Facility screen (public summary)</x:v>
      </x:c>
      <x:c r="G68" s="80" t="str">
        <x:v>C-05 | Facility screen (public summary)</x:v>
      </x:c>
    </x:row>
    <x:row r="69" ht="28" customHeight="1">
      <x:c r="A69" s="70" t="str">
        <x:v>Item</x:v>
      </x:c>
      <x:c r="B69" s="70" t="str">
        <x:v>Result</x:v>
      </x:c>
      <x:c r="C69" s="70" t="str">
        <x:v>Why it was not selected</x:v>
      </x:c>
      <x:c r="D69" s="70" t="str">
        <x:v>Public treatment</x:v>
      </x:c>
    </x:row>
    <x:row r="70">
      <x:c r="A70" s="62" t="str">
        <x:v>Facilities reviewed</x:v>
      </x:c>
      <x:c r="B70" s="62" t="n">
        <x:v>67</x:v>
      </x:c>
      <x:c r="C70" s="62" t="str">
        <x:v>Facility denominators varied widely</x:v>
      </x:c>
      <x:c r="D70" s="62" t="str">
        <x:v>No facility IDs published</x:v>
      </x:c>
    </x:row>
    <x:row r="71">
      <x:c r="A71" s="62" t="str">
        <x:v>Shift-count range</x:v>
      </x:c>
      <x:c r="B71" s="62" t="str">
        <x:v>2 to 3,138</x:v>
      </x:c>
      <x:c r="C71" s="62" t="str">
        <x:v>Very small denominators make extreme rates unstable</x:v>
      </x:c>
      <x:c r="D71" s="62" t="str">
        <x:v>Keep denominator beside every rate</x:v>
      </x:c>
    </x:row>
    <x:row r="72">
      <x:c r="A72" s="62" t="str">
        <x:v>Disposition</x:v>
      </x:c>
      <x:c r="B72" s="62" t="str">
        <x:v>Deprioritized</x:v>
      </x:c>
      <x:c r="C72" s="62" t="str">
        <x:v>Useful as a pilot review segment, not the eligibility rule</x:v>
      </x:c>
      <x:c r="D72" s="62" t="str">
        <x:v>Aggregate summary only</x:v>
      </x:c>
    </x:row>
    <x:row r="74">
      <x:c r="A74" s="99" t="str">
        <x:v>Screening conclusion: booking-event count, booked-HCP count, category, facility, exception, and event-order views were considered. The timing window and time-aware prior-history screen were the two branches carried into the proposed pilot. See 05 Analysis Path for dispositions.</x:v>
      </x:c>
      <x:c r="B74" s="100"/>
      <x:c r="C74" s="100"/>
      <x:c r="D74" s="100"/>
      <x:c r="E74" s="100"/>
      <x:c r="F74" s="100"/>
      <x:c r="G74" s="101"/>
    </x:row>
    <x:row r="75">
      <x:c r="A75" s="102"/>
      <x:c r="B75" s="103"/>
      <x:c r="C75" s="103"/>
      <x:c r="D75" s="103"/>
      <x:c r="E75" s="103"/>
      <x:c r="F75" s="103"/>
      <x:c r="G75" s="104"/>
    </x:row>
    <x:row r="76">
      <x:c r="A76" s="105"/>
      <x:c r="B76" s="106"/>
      <x:c r="C76" s="106"/>
      <x:c r="D76" s="106"/>
      <x:c r="E76" s="106"/>
      <x:c r="F76" s="106"/>
      <x:c r="G76" s="107"/>
    </x:row>
  </x:sheetData>
  <x:mergeCells>
    <x:mergeCell ref="A1:G2"/>
    <x:mergeCell ref="A3:G4"/>
    <x:mergeCell ref="A5:G5"/>
    <x:mergeCell ref="A10:G10"/>
    <x:mergeCell ref="A17:G17"/>
    <x:mergeCell ref="A24:G24"/>
    <x:mergeCell ref="A31:G31"/>
    <x:mergeCell ref="A38:G38"/>
    <x:mergeCell ref="A49:G49"/>
    <x:mergeCell ref="A54:G54"/>
    <x:mergeCell ref="A61:G61"/>
    <x:mergeCell ref="A68:G68"/>
    <x:mergeCell ref="A74:G76"/>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5" hidden="0" customWidth="1"/>
    <x:col min="2" max="2" width="15" hidden="0" customWidth="1"/>
    <x:col min="3" max="3" width="18" hidden="0" customWidth="1"/>
    <x:col min="4" max="4" width="13" hidden="0" customWidth="1"/>
    <x:col min="5" max="5" width="3"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s>
  <x:sheetData>
    <x:row r="1" ht="34" customHeight="1">
      <x:c r="A1" s="4" t="str">
        <x:v>Booking timing | selected pilot population</x:v>
      </x:c>
      <x:c r="B1" s="4" t="str">
        <x:v>Booking timing | selected pilot population</x:v>
      </x:c>
      <x:c r="C1" s="4" t="str">
        <x:v>Booking timing | selected pilot population</x:v>
      </x:c>
      <x:c r="D1" s="4" t="str">
        <x:v>Booking timing | selected pilot population</x:v>
      </x:c>
      <x:c r="E1" s="4" t="str">
        <x:v>Booking timing | selected pilot population</x:v>
      </x:c>
      <x:c r="F1" s="4" t="str">
        <x:v>Booking timing | selected pilot population</x:v>
      </x:c>
      <x:c r="G1" s="4" t="str">
        <x:v>Booking timing | selected pilot population</x:v>
      </x:c>
      <x:c r="H1" s="4" t="str">
        <x:v>Booking timing | selected pilot population</x:v>
      </x:c>
      <x:c r="I1" s="4" t="str">
        <x:v>Booking timing | selected pilot population</x:v>
      </x:c>
      <x:c r="J1" s="4" t="str">
        <x:v>Booking timing | selected pilot population</x:v>
      </x:c>
      <x:c r="K1" s="4" t="str">
        <x:v>Booking timing | selected pilot population</x:v>
      </x:c>
      <x:c r="L1" s="4" t="str">
        <x:v>Booking timing | selected pilot population</x:v>
      </x:c>
      <x:c r="M1" s="4" t="str">
        <x:v>Booking timing | selected pilot population</x:v>
      </x:c>
      <x:c r="N1" s="4" t="str">
        <x:v>Booking timing | selected pilot population</x:v>
      </x:c>
    </x:row>
    <x:row r="2" ht="34" customHeight="1">
      <x:c r="A2" s="4" t="str">
        <x:v>Booking timing | selected pilot population</x:v>
      </x:c>
      <x:c r="B2" s="4" t="str">
        <x:v>Booking timing | selected pilot population</x:v>
      </x:c>
      <x:c r="C2" s="4" t="str">
        <x:v>Booking timing | selected pilot population</x:v>
      </x:c>
      <x:c r="D2" s="4" t="str">
        <x:v>Booking timing | selected pilot population</x:v>
      </x:c>
      <x:c r="E2" s="4" t="str">
        <x:v>Booking timing | selected pilot population</x:v>
      </x:c>
      <x:c r="F2" s="4" t="str">
        <x:v>Booking timing | selected pilot population</x:v>
      </x:c>
      <x:c r="G2" s="4" t="str">
        <x:v>Booking timing | selected pilot population</x:v>
      </x:c>
      <x:c r="H2" s="4" t="str">
        <x:v>Booking timing | selected pilot population</x:v>
      </x:c>
      <x:c r="I2" s="4" t="str">
        <x:v>Booking timing | selected pilot population</x:v>
      </x:c>
      <x:c r="J2" s="4" t="str">
        <x:v>Booking timing | selected pilot population</x:v>
      </x:c>
      <x:c r="K2" s="4" t="str">
        <x:v>Booking timing | selected pilot population</x:v>
      </x:c>
      <x:c r="L2" s="4" t="str">
        <x:v>Booking timing | selected pilot population</x:v>
      </x:c>
      <x:c r="M2" s="4" t="str">
        <x:v>Booking timing | selected pilot population</x:v>
      </x:c>
      <x:c r="N2" s="4" t="str">
        <x:v>Booking timing | selected pilot population</x:v>
      </x:c>
    </x:row>
    <x:row r="3" ht="24" customHeight="1">
      <x:c r="A3" s="8" t="str">
        <x:v>The same 24-to-less-than-72-hour band ranked highest in the first-booking view and after limiting the data to shifts with exactly one matching booking event.</x:v>
      </x:c>
      <x:c r="B3" s="8" t="str">
        <x:v>The same 24-to-less-than-72-hour band ranked highest in the first-booking view and after limiting the data to shifts with exactly one matching booking event.</x:v>
      </x:c>
      <x:c r="C3" s="8" t="str">
        <x:v>The same 24-to-less-than-72-hour band ranked highest in the first-booking view and after limiting the data to shifts with exactly one matching booking event.</x:v>
      </x:c>
      <x:c r="D3" s="8" t="str">
        <x:v>The same 24-to-less-than-72-hour band ranked highest in the first-booking view and after limiting the data to shifts with exactly one matching booking event.</x:v>
      </x:c>
      <x:c r="E3" s="8" t="str">
        <x:v>The same 24-to-less-than-72-hour band ranked highest in the first-booking view and after limiting the data to shifts with exactly one matching booking event.</x:v>
      </x:c>
      <x:c r="F3" s="8" t="str">
        <x:v>The same 24-to-less-than-72-hour band ranked highest in the first-booking view and after limiting the data to shifts with exactly one matching booking event.</x:v>
      </x:c>
      <x:c r="G3" s="8" t="str">
        <x:v>The same 24-to-less-than-72-hour band ranked highest in the first-booking view and after limiting the data to shifts with exactly one matching booking event.</x:v>
      </x:c>
      <x:c r="H3" s="8" t="str">
        <x:v>The same 24-to-less-than-72-hour band ranked highest in the first-booking view and after limiting the data to shifts with exactly one matching booking event.</x:v>
      </x:c>
      <x:c r="I3" s="8" t="str">
        <x:v>The same 24-to-less-than-72-hour band ranked highest in the first-booking view and after limiting the data to shifts with exactly one matching booking event.</x:v>
      </x:c>
      <x:c r="J3" s="8" t="str">
        <x:v>The same 24-to-less-than-72-hour band ranked highest in the first-booking view and after limiting the data to shifts with exactly one matching booking event.</x:v>
      </x:c>
      <x:c r="K3" s="8" t="str">
        <x:v>The same 24-to-less-than-72-hour band ranked highest in the first-booking view and after limiting the data to shifts with exactly one matching booking event.</x:v>
      </x:c>
      <x:c r="L3" s="8" t="str">
        <x:v>The same 24-to-less-than-72-hour band ranked highest in the first-booking view and after limiting the data to shifts with exactly one matching booking event.</x:v>
      </x:c>
      <x:c r="M3" s="8" t="str">
        <x:v>The same 24-to-less-than-72-hour band ranked highest in the first-booking view and after limiting the data to shifts with exactly one matching booking event.</x:v>
      </x:c>
      <x:c r="N3" s="8" t="str">
        <x:v>The same 24-to-less-than-72-hour band ranked highest in the first-booking view and after limiting the data to shifts with exactly one matching booking event.</x:v>
      </x:c>
    </x:row>
    <x:row r="4" ht="24" customHeight="1">
      <x:c r="A4" s="8" t="str">
        <x:v>The same 24-to-less-than-72-hour band ranked highest in the first-booking view and after limiting the data to shifts with exactly one matching booking event.</x:v>
      </x:c>
      <x:c r="B4" s="8" t="str">
        <x:v>The same 24-to-less-than-72-hour band ranked highest in the first-booking view and after limiting the data to shifts with exactly one matching booking event.</x:v>
      </x:c>
      <x:c r="C4" s="8" t="str">
        <x:v>The same 24-to-less-than-72-hour band ranked highest in the first-booking view and after limiting the data to shifts with exactly one matching booking event.</x:v>
      </x:c>
      <x:c r="D4" s="8" t="str">
        <x:v>The same 24-to-less-than-72-hour band ranked highest in the first-booking view and after limiting the data to shifts with exactly one matching booking event.</x:v>
      </x:c>
      <x:c r="E4" s="8" t="str">
        <x:v>The same 24-to-less-than-72-hour band ranked highest in the first-booking view and after limiting the data to shifts with exactly one matching booking event.</x:v>
      </x:c>
      <x:c r="F4" s="8" t="str">
        <x:v>The same 24-to-less-than-72-hour band ranked highest in the first-booking view and after limiting the data to shifts with exactly one matching booking event.</x:v>
      </x:c>
      <x:c r="G4" s="8" t="str">
        <x:v>The same 24-to-less-than-72-hour band ranked highest in the first-booking view and after limiting the data to shifts with exactly one matching booking event.</x:v>
      </x:c>
      <x:c r="H4" s="8" t="str">
        <x:v>The same 24-to-less-than-72-hour band ranked highest in the first-booking view and after limiting the data to shifts with exactly one matching booking event.</x:v>
      </x:c>
      <x:c r="I4" s="8" t="str">
        <x:v>The same 24-to-less-than-72-hour band ranked highest in the first-booking view and after limiting the data to shifts with exactly one matching booking event.</x:v>
      </x:c>
      <x:c r="J4" s="8" t="str">
        <x:v>The same 24-to-less-than-72-hour band ranked highest in the first-booking view and after limiting the data to shifts with exactly one matching booking event.</x:v>
      </x:c>
      <x:c r="K4" s="8" t="str">
        <x:v>The same 24-to-less-than-72-hour band ranked highest in the first-booking view and after limiting the data to shifts with exactly one matching booking event.</x:v>
      </x:c>
      <x:c r="L4" s="8" t="str">
        <x:v>The same 24-to-less-than-72-hour band ranked highest in the first-booking view and after limiting the data to shifts with exactly one matching booking event.</x:v>
      </x:c>
      <x:c r="M4" s="8" t="str">
        <x:v>The same 24-to-less-than-72-hour band ranked highest in the first-booking view and after limiting the data to shifts with exactly one matching booking event.</x:v>
      </x:c>
      <x:c r="N4" s="8" t="str">
        <x:v>The same 24-to-less-than-72-hour band ranked highest in the first-booking view and after limiting the data to shifts with exactly one matching booking event.</x:v>
      </x:c>
    </x:row>
    <x:row r="5" ht="22" customHeight="1">
      <x:c r="A5" s="80" t="str">
        <x:v>C-03 | Earliest matching booking event</x:v>
      </x:c>
      <x:c r="B5" s="80" t="str">
        <x:v>C-03 | Earliest matching booking event</x:v>
      </x:c>
      <x:c r="C5" s="80" t="str">
        <x:v>C-03 | Earliest matching booking event</x:v>
      </x:c>
      <x:c r="D5" s="80" t="str">
        <x:v>C-03 | Earliest matching booking event</x:v>
      </x:c>
      <x:c r="E5" s="80" t="str">
        <x:v>C-03 | Earliest matching booking event</x:v>
      </x:c>
      <x:c r="F5" s="80" t="str">
        <x:v>C-03 | Earliest matching booking event</x:v>
      </x:c>
      <x:c r="G5" s="80" t="str">
        <x:v>C-03 | Earliest matching booking event</x:v>
      </x:c>
    </x:row>
    <x:row r="6" ht="28" customHeight="1">
      <x:c r="A6" s="70" t="str">
        <x:v>Booking time before start</x:v>
      </x:c>
      <x:c r="B6" s="70" t="str">
        <x:v>Shifts</x:v>
      </x:c>
      <x:c r="C6" s="70" t="str">
        <x:v>Late-cancel shifts</x:v>
      </x:c>
      <x:c r="D6" s="70" t="str">
        <x:v>Rate</x:v>
      </x:c>
    </x:row>
    <x:row r="7">
      <x:c r="A7" s="62" t="str">
        <x:v>0–&lt;24 hours</x:v>
      </x:c>
      <x:c r="B7" s="62" t="n">
        <x:v>822</x:v>
      </x:c>
      <x:c r="C7" s="62" t="n">
        <x:v>75</x:v>
      </x:c>
      <x:c r="D7" s="77" t="n">
        <x:f>C7/B7</x:f>
        <x:v>0.09124087591240876</x:v>
      </x:c>
    </x:row>
    <x:row r="8">
      <x:c r="A8" s="73" t="str">
        <x:v>24–&lt;72 hours</x:v>
      </x:c>
      <x:c r="B8" s="73" t="n">
        <x:v>1505</x:v>
      </x:c>
      <x:c r="C8" s="73" t="n">
        <x:v>205</x:v>
      </x:c>
      <x:c r="D8" s="76" t="n">
        <x:f>C8/B8</x:f>
        <x:v>0.1362126245847176</x:v>
      </x:c>
    </x:row>
    <x:row r="9">
      <x:c r="A9" s="62" t="str">
        <x:v>3–&lt;7 days</x:v>
      </x:c>
      <x:c r="B9" s="62" t="n">
        <x:v>2299</x:v>
      </x:c>
      <x:c r="C9" s="62" t="n">
        <x:v>279</x:v>
      </x:c>
      <x:c r="D9" s="77" t="n">
        <x:f>C9/B9</x:f>
        <x:v>0.1213571117877338</x:v>
      </x:c>
    </x:row>
    <x:row r="10">
      <x:c r="A10" s="62" t="str">
        <x:v>7–&lt;30 days</x:v>
      </x:c>
      <x:c r="B10" s="62" t="n">
        <x:v>4458</x:v>
      </x:c>
      <x:c r="C10" s="62" t="n">
        <x:v>357</x:v>
      </x:c>
      <x:c r="D10" s="77" t="n">
        <x:f>C10/B10</x:f>
        <x:v>0.0800807537012113</x:v>
      </x:c>
    </x:row>
    <x:row r="11">
      <x:c r="A11" s="62" t="str">
        <x:v>30+ days</x:v>
      </x:c>
      <x:c r="B11" s="62" t="n">
        <x:v>206</x:v>
      </x:c>
      <x:c r="C11" s="62" t="n">
        <x:v>16</x:v>
      </x:c>
      <x:c r="D11" s="77" t="n">
        <x:f>C11/B11</x:f>
        <x:v>0.07766990291262135</x:v>
      </x:c>
    </x:row>
    <x:row r="14" ht="22" customHeight="1">
      <x:c r="A14" s="80" t="str">
        <x:v>D-03 | Exactly one matching booking event</x:v>
      </x:c>
      <x:c r="B14" s="80" t="str">
        <x:v>D-03 | Exactly one matching booking event</x:v>
      </x:c>
      <x:c r="C14" s="80" t="str">
        <x:v>D-03 | Exactly one matching booking event</x:v>
      </x:c>
      <x:c r="D14" s="80" t="str">
        <x:v>D-03 | Exactly one matching booking event</x:v>
      </x:c>
      <x:c r="E14" s="80" t="str">
        <x:v>D-03 | Exactly one matching booking event</x:v>
      </x:c>
      <x:c r="F14" s="80" t="str">
        <x:v>D-03 | Exactly one matching booking event</x:v>
      </x:c>
      <x:c r="G14" s="80" t="str">
        <x:v>D-03 | Exactly one matching booking event</x:v>
      </x:c>
    </x:row>
    <x:row r="15" ht="28" customHeight="1">
      <x:c r="A15" s="70" t="str">
        <x:v>Booking time before start</x:v>
      </x:c>
      <x:c r="B15" s="70" t="str">
        <x:v>Shifts</x:v>
      </x:c>
      <x:c r="C15" s="70" t="str">
        <x:v>Late-cancel shifts</x:v>
      </x:c>
      <x:c r="D15" s="70" t="str">
        <x:v>Rate</x:v>
      </x:c>
    </x:row>
    <x:row r="16">
      <x:c r="A16" s="62" t="str">
        <x:v>0–&lt;24 hours</x:v>
      </x:c>
      <x:c r="B16" s="62" t="n">
        <x:v>798</x:v>
      </x:c>
      <x:c r="C16" s="62" t="n">
        <x:v>57</x:v>
      </x:c>
      <x:c r="D16" s="77" t="n">
        <x:f>C16/B16</x:f>
        <x:v>0.07142857142857142</x:v>
      </x:c>
    </x:row>
    <x:row r="17">
      <x:c r="A17" s="73" t="str">
        <x:v>24–&lt;72 hours</x:v>
      </x:c>
      <x:c r="B17" s="73" t="n">
        <x:v>1427</x:v>
      </x:c>
      <x:c r="C17" s="73" t="n">
        <x:v>163</x:v>
      </x:c>
      <x:c r="D17" s="76" t="n">
        <x:f>C17/B17</x:f>
        <x:v>0.11422564821303434</x:v>
      </x:c>
    </x:row>
    <x:row r="18">
      <x:c r="A18" s="62" t="str">
        <x:v>3–&lt;7 days</x:v>
      </x:c>
      <x:c r="B18" s="62" t="n">
        <x:v>2071</x:v>
      </x:c>
      <x:c r="C18" s="62" t="n">
        <x:v>195</x:v>
      </x:c>
      <x:c r="D18" s="77" t="n">
        <x:f>C18/B18</x:f>
        <x:v>0.09415741187831965</x:v>
      </x:c>
    </x:row>
    <x:row r="19">
      <x:c r="A19" s="62" t="str">
        <x:v>7–&lt;30 days</x:v>
      </x:c>
      <x:c r="B19" s="62" t="n">
        <x:v>3362</x:v>
      </x:c>
      <x:c r="C19" s="62" t="n">
        <x:v>170</x:v>
      </x:c>
      <x:c r="D19" s="77" t="n">
        <x:f>C19/B19</x:f>
        <x:v>0.05056513979773944</x:v>
      </x:c>
    </x:row>
    <x:row r="20">
      <x:c r="A20" s="62" t="str">
        <x:v>30+ days</x:v>
      </x:c>
      <x:c r="B20" s="62" t="n">
        <x:v>121</x:v>
      </x:c>
      <x:c r="C20" s="62" t="n">
        <x:v>3</x:v>
      </x:c>
      <x:c r="D20" s="77" t="n">
        <x:f>C20/B20</x:f>
        <x:v>0.024793388429752067</x:v>
      </x:c>
    </x:row>
    <x:row r="23" ht="22" customHeight="1">
      <x:c r="A23" s="80" t="str">
        <x:v>Formula-backed chart source</x:v>
      </x:c>
      <x:c r="B23" s="80" t="str">
        <x:v>Formula-backed chart source</x:v>
      </x:c>
      <x:c r="C23" s="80" t="str">
        <x:v>Formula-backed chart source</x:v>
      </x:c>
      <x:c r="D23" s="80" t="str">
        <x:v>Formula-backed chart source</x:v>
      </x:c>
      <x:c r="E23" s="80" t="str">
        <x:v>Formula-backed chart source</x:v>
      </x:c>
      <x:c r="F23" s="80" t="str">
        <x:v>Formula-backed chart source</x:v>
      </x:c>
    </x:row>
    <x:row r="24" ht="22" customHeight="1">
      <x:c r="A24" s="70" t="str">
        <x:v>Booking time before start</x:v>
      </x:c>
      <x:c r="B24" s="70" t="str">
        <x:v>First booking</x:v>
      </x:c>
      <x:c r="C24" s="70" t="str">
        <x:v>Exactly one booking</x:v>
      </x:c>
      <x:c r="F24" s="58" t="str">
        <x:v>Interpretation and boundary</x:v>
      </x:c>
      <x:c r="G24" s="58" t="str">
        <x:v>Interpretation and boundary</x:v>
      </x:c>
      <x:c r="H24" s="58" t="str">
        <x:v>Interpretation and boundary</x:v>
      </x:c>
      <x:c r="I24" s="58" t="str">
        <x:v>Interpretation and boundary</x:v>
      </x:c>
      <x:c r="J24" s="58" t="str">
        <x:v>Interpretation and boundary</x:v>
      </x:c>
      <x:c r="K24" s="58" t="str">
        <x:v>Interpretation and boundary</x:v>
      </x:c>
      <x:c r="L24" s="58" t="str">
        <x:v>Interpretation and boundary</x:v>
      </x:c>
      <x:c r="M24" s="58" t="str">
        <x:v>Interpretation and boundary</x:v>
      </x:c>
      <x:c r="N24" s="58" t="str">
        <x:v>Interpretation and boundary</x:v>
      </x:c>
    </x:row>
    <x:row r="25">
      <x:c r="A25" s="62" t="str">
        <x:v>0–&lt;24h</x:v>
      </x:c>
      <x:c r="B25" s="77" t="n">
        <x:f>D7</x:f>
        <x:v>0.09124087591240876</x:v>
      </x:c>
      <x:c r="C25" s="77" t="n">
        <x:f>D16</x:f>
        <x:v>0.07142857142857142</x:v>
      </x:c>
      <x:c r="F25" s="99" t="str">
        <x:v>C-03: 205 of 1,505 target-window shifts had a late cancellation (13.62%). D-03: 163 of 1,427 one-booking target-window shifts had a late cancellation (11.42%). The repeated ranking made the band suitable for a bounded pilot. It does not show that booking lead time causes cancellation, and it is not a treatment-effect estimate.</x:v>
      </x:c>
      <x:c r="G25" s="100"/>
      <x:c r="H25" s="100"/>
      <x:c r="I25" s="100"/>
      <x:c r="J25" s="100"/>
      <x:c r="K25" s="100"/>
      <x:c r="L25" s="100"/>
      <x:c r="M25" s="100"/>
      <x:c r="N25" s="101"/>
    </x:row>
    <x:row r="26">
      <x:c r="A26" s="73" t="str">
        <x:v>24–&lt;72h</x:v>
      </x:c>
      <x:c r="B26" s="76" t="n">
        <x:f>D8</x:f>
        <x:v>0.1362126245847176</x:v>
      </x:c>
      <x:c r="C26" s="76" t="n">
        <x:f>D17</x:f>
        <x:v>0.11422564821303434</x:v>
      </x:c>
      <x:c r="F26" s="102"/>
      <x:c r="G26" s="103"/>
      <x:c r="H26" s="103"/>
      <x:c r="I26" s="103"/>
      <x:c r="J26" s="103"/>
      <x:c r="K26" s="103"/>
      <x:c r="L26" s="103"/>
      <x:c r="M26" s="103"/>
      <x:c r="N26" s="104"/>
    </x:row>
    <x:row r="27">
      <x:c r="A27" s="62" t="str">
        <x:v>3–&lt;7d</x:v>
      </x:c>
      <x:c r="B27" s="77" t="n">
        <x:f>D9</x:f>
        <x:v>0.1213571117877338</x:v>
      </x:c>
      <x:c r="C27" s="77" t="n">
        <x:f>D18</x:f>
        <x:v>0.09415741187831965</x:v>
      </x:c>
      <x:c r="F27" s="102"/>
      <x:c r="G27" s="103"/>
      <x:c r="H27" s="103"/>
      <x:c r="I27" s="103"/>
      <x:c r="J27" s="103"/>
      <x:c r="K27" s="103"/>
      <x:c r="L27" s="103"/>
      <x:c r="M27" s="103"/>
      <x:c r="N27" s="104"/>
    </x:row>
    <x:row r="28">
      <x:c r="A28" s="62" t="str">
        <x:v>7–&lt;30d</x:v>
      </x:c>
      <x:c r="B28" s="77" t="n">
        <x:f>D10</x:f>
        <x:v>0.0800807537012113</x:v>
      </x:c>
      <x:c r="C28" s="77" t="n">
        <x:f>D19</x:f>
        <x:v>0.05056513979773944</x:v>
      </x:c>
      <x:c r="F28" s="102"/>
      <x:c r="G28" s="103"/>
      <x:c r="H28" s="103"/>
      <x:c r="I28" s="103"/>
      <x:c r="J28" s="103"/>
      <x:c r="K28" s="103"/>
      <x:c r="L28" s="103"/>
      <x:c r="M28" s="103"/>
      <x:c r="N28" s="104"/>
    </x:row>
    <x:row r="29">
      <x:c r="A29" s="62" t="str">
        <x:v>30+d</x:v>
      </x:c>
      <x:c r="B29" s="77" t="n">
        <x:f>D11</x:f>
        <x:v>0.07766990291262135</x:v>
      </x:c>
      <x:c r="C29" s="77" t="n">
        <x:f>D20</x:f>
        <x:v>0.024793388429752067</x:v>
      </x:c>
      <x:c r="F29" s="102"/>
      <x:c r="G29" s="103"/>
      <x:c r="H29" s="103"/>
      <x:c r="I29" s="103"/>
      <x:c r="J29" s="103"/>
      <x:c r="K29" s="103"/>
      <x:c r="L29" s="103"/>
      <x:c r="M29" s="103"/>
      <x:c r="N29" s="104"/>
    </x:row>
    <x:row r="30">
      <x:c r="F30" s="102"/>
      <x:c r="G30" s="103"/>
      <x:c r="H30" s="103"/>
      <x:c r="I30" s="103"/>
      <x:c r="J30" s="103"/>
      <x:c r="K30" s="103"/>
      <x:c r="L30" s="103"/>
      <x:c r="M30" s="103"/>
      <x:c r="N30" s="104"/>
    </x:row>
    <x:row r="31">
      <x:c r="F31" s="105"/>
      <x:c r="G31" s="106"/>
      <x:c r="H31" s="106"/>
      <x:c r="I31" s="106"/>
      <x:c r="J31" s="106"/>
      <x:c r="K31" s="106"/>
      <x:c r="L31" s="106"/>
      <x:c r="M31" s="106"/>
      <x:c r="N31" s="107"/>
    </x:row>
    <x:row r="33">
      <x:c r="A33" s="99" t="str">
        <x:v>Timing exclusions: the retained bands omit negative supplied booking lead times. One Metro A shift has a missing scheduled start and is excluded only from calculations that require that timestamp.</x:v>
      </x:c>
      <x:c r="B33" s="100"/>
      <x:c r="C33" s="100"/>
      <x:c r="D33" s="100"/>
      <x:c r="E33" s="100"/>
      <x:c r="F33" s="100"/>
      <x:c r="G33" s="100"/>
      <x:c r="H33" s="100"/>
      <x:c r="I33" s="100"/>
      <x:c r="J33" s="100"/>
      <x:c r="K33" s="100"/>
      <x:c r="L33" s="100"/>
      <x:c r="M33" s="100"/>
      <x:c r="N33" s="101"/>
    </x:row>
    <x:row r="34">
      <x:c r="A34" s="102"/>
      <x:c r="B34" s="103"/>
      <x:c r="C34" s="103"/>
      <x:c r="D34" s="103"/>
      <x:c r="E34" s="103"/>
      <x:c r="F34" s="103"/>
      <x:c r="G34" s="103"/>
      <x:c r="H34" s="103"/>
      <x:c r="I34" s="103"/>
      <x:c r="J34" s="103"/>
      <x:c r="K34" s="103"/>
      <x:c r="L34" s="103"/>
      <x:c r="M34" s="103"/>
      <x:c r="N34" s="104"/>
    </x:row>
    <x:row r="35">
      <x:c r="A35" s="105"/>
      <x:c r="B35" s="106"/>
      <x:c r="C35" s="106"/>
      <x:c r="D35" s="106"/>
      <x:c r="E35" s="106"/>
      <x:c r="F35" s="106"/>
      <x:c r="G35" s="106"/>
      <x:c r="H35" s="106"/>
      <x:c r="I35" s="106"/>
      <x:c r="J35" s="106"/>
      <x:c r="K35" s="106"/>
      <x:c r="L35" s="106"/>
      <x:c r="M35" s="106"/>
      <x:c r="N35" s="107"/>
    </x:row>
  </x:sheetData>
  <x:mergeCells>
    <x:mergeCell ref="A1:N2"/>
    <x:mergeCell ref="A3:N4"/>
    <x:mergeCell ref="A5:G5"/>
    <x:mergeCell ref="A14:G14"/>
    <x:mergeCell ref="A23:F23"/>
    <x:mergeCell ref="F24:N24"/>
    <x:mergeCell ref="F25:N31"/>
    <x:mergeCell ref="A33:N35"/>
  </x:mergeCells>
  <x:pageMargins left="0.7" right="0.7" top="0.75" bottom="0.75" header="0.3" footer="0.3"/>
  <x:drawing xmlns:r="http://schemas.openxmlformats.org/officeDocument/2006/relationships" r:id="R5b5065a40682474e"/>
</x:worksheet>
</file>

<file path=xl/worksheets/sheet5.xml><?xml version="1.0" encoding="utf-8"?>
<x:worksheet xmlns:x="http://schemas.openxmlformats.org/spreadsheetml/2006/main">
  <x:sheetViews>
    <x:sheetView showGridLines="0" workbookViewId="0"/>
  </x:sheetViews>
  <x:sheetFormatPr defaultRowHeight="15"/>
  <x:cols>
    <x:col min="1" max="1" width="32" hidden="0" customWidth="1"/>
    <x:col min="2" max="2" width="17" hidden="0" customWidth="1"/>
    <x:col min="3" max="3" width="14" hidden="0" customWidth="1"/>
    <x:col min="4" max="4" width="19" hidden="0" customWidth="1"/>
    <x:col min="5" max="5" width="15" hidden="0" customWidth="1"/>
    <x:col min="6" max="6" width="18" hidden="0" customWidth="1"/>
    <x:col min="7" max="7" width="15" hidden="0" customWidth="1"/>
    <x:col min="8" max="8" width="4"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s>
  <x:sheetData>
    <x:row r="1" ht="34" customHeight="1">
      <x:c r="A1" s="4" t="str">
        <x:v>W-02 | time-aware HCP-history screen</x:v>
      </x:c>
      <x:c r="B1" s="4" t="str">
        <x:v>W-02 | time-aware HCP-history screen</x:v>
      </x:c>
      <x:c r="C1" s="4" t="str">
        <x:v>W-02 | time-aware HCP-history screen</x:v>
      </x:c>
      <x:c r="D1" s="4" t="str">
        <x:v>W-02 | time-aware HCP-history screen</x:v>
      </x:c>
      <x:c r="E1" s="4" t="str">
        <x:v>W-02 | time-aware HCP-history screen</x:v>
      </x:c>
      <x:c r="F1" s="4" t="str">
        <x:v>W-02 | time-aware HCP-history screen</x:v>
      </x:c>
      <x:c r="G1" s="4" t="str">
        <x:v>W-02 | time-aware HCP-history screen</x:v>
      </x:c>
      <x:c r="H1" s="4" t="str">
        <x:v>W-02 | time-aware HCP-history screen</x:v>
      </x:c>
      <x:c r="I1" s="4" t="str">
        <x:v>W-02 | time-aware HCP-history screen</x:v>
      </x:c>
      <x:c r="J1" s="4" t="str">
        <x:v>W-02 | time-aware HCP-history screen</x:v>
      </x:c>
      <x:c r="K1" s="4" t="str">
        <x:v>W-02 | time-aware HCP-history screen</x:v>
      </x:c>
      <x:c r="L1" s="4" t="str">
        <x:v>W-02 | time-aware HCP-history screen</x:v>
      </x:c>
      <x:c r="M1" s="4" t="str">
        <x:v>W-02 | time-aware HCP-history screen</x:v>
      </x:c>
      <x:c r="N1" s="4" t="str">
        <x:v>W-02 | time-aware HCP-history screen</x:v>
      </x:c>
    </x:row>
    <x:row r="2" ht="34" customHeight="1">
      <x:c r="A2" s="4" t="str">
        <x:v>W-02 | time-aware HCP-history screen</x:v>
      </x:c>
      <x:c r="B2" s="4" t="str">
        <x:v>W-02 | time-aware HCP-history screen</x:v>
      </x:c>
      <x:c r="C2" s="4" t="str">
        <x:v>W-02 | time-aware HCP-history screen</x:v>
      </x:c>
      <x:c r="D2" s="4" t="str">
        <x:v>W-02 | time-aware HCP-history screen</x:v>
      </x:c>
      <x:c r="E2" s="4" t="str">
        <x:v>W-02 | time-aware HCP-history screen</x:v>
      </x:c>
      <x:c r="F2" s="4" t="str">
        <x:v>W-02 | time-aware HCP-history screen</x:v>
      </x:c>
      <x:c r="G2" s="4" t="str">
        <x:v>W-02 | time-aware HCP-history screen</x:v>
      </x:c>
      <x:c r="H2" s="4" t="str">
        <x:v>W-02 | time-aware HCP-history screen</x:v>
      </x:c>
      <x:c r="I2" s="4" t="str">
        <x:v>W-02 | time-aware HCP-history screen</x:v>
      </x:c>
      <x:c r="J2" s="4" t="str">
        <x:v>W-02 | time-aware HCP-history screen</x:v>
      </x:c>
      <x:c r="K2" s="4" t="str">
        <x:v>W-02 | time-aware HCP-history screen</x:v>
      </x:c>
      <x:c r="L2" s="4" t="str">
        <x:v>W-02 | time-aware HCP-history screen</x:v>
      </x:c>
      <x:c r="M2" s="4" t="str">
        <x:v>W-02 | time-aware HCP-history screen</x:v>
      </x:c>
      <x:c r="N2" s="4" t="str">
        <x:v>W-02 | time-aware HCP-history screen</x:v>
      </x:c>
    </x:row>
    <x:row r="3" ht="24" customHeight="1">
      <x:c r="A3" s="8" t="str">
        <x:v>Each target-window booking decision uses only history resolved before that booking. The historical comparison supports a randomized test; it is not proof that preferred access will cause the observed difference.</x:v>
      </x:c>
      <x:c r="B3" s="8" t="str">
        <x:v>Each target-window booking decision uses only history resolved before that booking. The historical comparison supports a randomized test; it is not proof that preferred access will cause the observed difference.</x:v>
      </x:c>
      <x:c r="C3" s="8" t="str">
        <x:v>Each target-window booking decision uses only history resolved before that booking. The historical comparison supports a randomized test; it is not proof that preferred access will cause the observed difference.</x:v>
      </x:c>
      <x:c r="D3" s="8" t="str">
        <x:v>Each target-window booking decision uses only history resolved before that booking. The historical comparison supports a randomized test; it is not proof that preferred access will cause the observed difference.</x:v>
      </x:c>
      <x:c r="E3" s="8" t="str">
        <x:v>Each target-window booking decision uses only history resolved before that booking. The historical comparison supports a randomized test; it is not proof that preferred access will cause the observed difference.</x:v>
      </x:c>
      <x:c r="F3" s="8" t="str">
        <x:v>Each target-window booking decision uses only history resolved before that booking. The historical comparison supports a randomized test; it is not proof that preferred access will cause the observed difference.</x:v>
      </x:c>
      <x:c r="G3" s="8" t="str">
        <x:v>Each target-window booking decision uses only history resolved before that booking. The historical comparison supports a randomized test; it is not proof that preferred access will cause the observed difference.</x:v>
      </x:c>
      <x:c r="H3" s="8" t="str">
        <x:v>Each target-window booking decision uses only history resolved before that booking. The historical comparison supports a randomized test; it is not proof that preferred access will cause the observed difference.</x:v>
      </x:c>
      <x:c r="I3" s="8" t="str">
        <x:v>Each target-window booking decision uses only history resolved before that booking. The historical comparison supports a randomized test; it is not proof that preferred access will cause the observed difference.</x:v>
      </x:c>
      <x:c r="J3" s="8" t="str">
        <x:v>Each target-window booking decision uses only history resolved before that booking. The historical comparison supports a randomized test; it is not proof that preferred access will cause the observed difference.</x:v>
      </x:c>
      <x:c r="K3" s="8" t="str">
        <x:v>Each target-window booking decision uses only history resolved before that booking. The historical comparison supports a randomized test; it is not proof that preferred access will cause the observed difference.</x:v>
      </x:c>
      <x:c r="L3" s="8" t="str">
        <x:v>Each target-window booking decision uses only history resolved before that booking. The historical comparison supports a randomized test; it is not proof that preferred access will cause the observed difference.</x:v>
      </x:c>
      <x:c r="M3" s="8" t="str">
        <x:v>Each target-window booking decision uses only history resolved before that booking. The historical comparison supports a randomized test; it is not proof that preferred access will cause the observed difference.</x:v>
      </x:c>
      <x:c r="N3" s="8" t="str">
        <x:v>Each target-window booking decision uses only history resolved before that booking. The historical comparison supports a randomized test; it is not proof that preferred access will cause the observed difference.</x:v>
      </x:c>
    </x:row>
    <x:row r="4" ht="24" customHeight="1">
      <x:c r="A4" s="8" t="str">
        <x:v>Each target-window booking decision uses only history resolved before that booking. The historical comparison supports a randomized test; it is not proof that preferred access will cause the observed difference.</x:v>
      </x:c>
      <x:c r="B4" s="8" t="str">
        <x:v>Each target-window booking decision uses only history resolved before that booking. The historical comparison supports a randomized test; it is not proof that preferred access will cause the observed difference.</x:v>
      </x:c>
      <x:c r="C4" s="8" t="str">
        <x:v>Each target-window booking decision uses only history resolved before that booking. The historical comparison supports a randomized test; it is not proof that preferred access will cause the observed difference.</x:v>
      </x:c>
      <x:c r="D4" s="8" t="str">
        <x:v>Each target-window booking decision uses only history resolved before that booking. The historical comparison supports a randomized test; it is not proof that preferred access will cause the observed difference.</x:v>
      </x:c>
      <x:c r="E4" s="8" t="str">
        <x:v>Each target-window booking decision uses only history resolved before that booking. The historical comparison supports a randomized test; it is not proof that preferred access will cause the observed difference.</x:v>
      </x:c>
      <x:c r="F4" s="8" t="str">
        <x:v>Each target-window booking decision uses only history resolved before that booking. The historical comparison supports a randomized test; it is not proof that preferred access will cause the observed difference.</x:v>
      </x:c>
      <x:c r="G4" s="8" t="str">
        <x:v>Each target-window booking decision uses only history resolved before that booking. The historical comparison supports a randomized test; it is not proof that preferred access will cause the observed difference.</x:v>
      </x:c>
      <x:c r="H4" s="8" t="str">
        <x:v>Each target-window booking decision uses only history resolved before that booking. The historical comparison supports a randomized test; it is not proof that preferred access will cause the observed difference.</x:v>
      </x:c>
      <x:c r="I4" s="8" t="str">
        <x:v>Each target-window booking decision uses only history resolved before that booking. The historical comparison supports a randomized test; it is not proof that preferred access will cause the observed difference.</x:v>
      </x:c>
      <x:c r="J4" s="8" t="str">
        <x:v>Each target-window booking decision uses only history resolved before that booking. The historical comparison supports a randomized test; it is not proof that preferred access will cause the observed difference.</x:v>
      </x:c>
      <x:c r="K4" s="8" t="str">
        <x:v>Each target-window booking decision uses only history resolved before that booking. The historical comparison supports a randomized test; it is not proof that preferred access will cause the observed difference.</x:v>
      </x:c>
      <x:c r="L4" s="8" t="str">
        <x:v>Each target-window booking decision uses only history resolved before that booking. The historical comparison supports a randomized test; it is not proof that preferred access will cause the observed difference.</x:v>
      </x:c>
      <x:c r="M4" s="8" t="str">
        <x:v>Each target-window booking decision uses only history resolved before that booking. The historical comparison supports a randomized test; it is not proof that preferred access will cause the observed difference.</x:v>
      </x:c>
      <x:c r="N4" s="8" t="str">
        <x:v>Each target-window booking decision uses only history resolved before that booking. The historical comparison supports a randomized test; it is not proof that preferred access will cause the observed difference.</x:v>
      </x:c>
    </x:row>
    <x:row r="5" ht="22" customHeight="1">
      <x:c r="A5" s="58" t="str">
        <x:v>Selected rule and target-window audit</x:v>
      </x:c>
      <x:c r="B5" s="58" t="str">
        <x:v>Selected rule and target-window audit</x:v>
      </x:c>
      <x:c r="C5" s="58" t="str">
        <x:v>Selected rule and target-window audit</x:v>
      </x:c>
      <x:c r="D5" s="58" t="str">
        <x:v>Selected rule and target-window audit</x:v>
      </x:c>
      <x:c r="E5" s="58" t="str">
        <x:v>Selected rule and target-window audit</x:v>
      </x:c>
      <x:c r="F5" s="58" t="str">
        <x:v>Selected rule and target-window audit</x:v>
      </x:c>
    </x:row>
    <x:row r="6" ht="28" customHeight="1">
      <x:c r="A6" s="70" t="str">
        <x:v>Rule input</x:v>
      </x:c>
      <x:c r="B6" s="70" t="str">
        <x:v>Value</x:v>
      </x:c>
      <x:c r="D6" s="70" t="str">
        <x:v>Target-window audit</x:v>
      </x:c>
      <x:c r="E6" s="70" t="str">
        <x:v>Result</x:v>
      </x:c>
    </x:row>
    <x:row r="7">
      <x:c r="A7" s="73" t="str">
        <x:v>Minimum prior resolved shifts</x:v>
      </x:c>
      <x:c r="B7" s="73" t="n">
        <x:v>10</x:v>
      </x:c>
      <x:c r="D7" s="62" t="str">
        <x:v>Booking decisions</x:v>
      </x:c>
      <x:c r="E7" s="75" t="n">
        <x:v>1742</x:v>
      </x:c>
    </x:row>
    <x:row r="8">
      <x:c r="A8" s="73" t="str">
        <x:v>Maximum prior late-cancellation rate</x:v>
      </x:c>
      <x:c r="B8" s="141" t="n">
        <x:v>0.1</x:v>
      </x:c>
      <x:c r="D8" s="62" t="str">
        <x:v>Unique shifts</x:v>
      </x:c>
      <x:c r="E8" s="75" t="n">
        <x:v>1701</x:v>
      </x:c>
    </x:row>
    <x:row r="9">
      <x:c r="A9" s="73" t="str">
        <x:v>Timed fallback</x:v>
      </x:c>
      <x:c r="B9" s="73" t="str">
        <x:v>30 minutes</x:v>
      </x:c>
      <x:c r="D9" s="62" t="str">
        <x:v>Unique HCPs</x:v>
      </x:c>
      <x:c r="E9" s="75" t="n">
        <x:v>393</x:v>
      </x:c>
    </x:row>
    <x:row r="10">
      <x:c r="D10" s="62" t="str">
        <x:v>Median prior resolved shifts</x:v>
      </x:c>
      <x:c r="E10" s="75" t="n">
        <x:v>9</x:v>
      </x:c>
    </x:row>
    <x:row r="11" ht="22" customHeight="1">
      <x:c r="A11" s="80" t="str">
        <x:v>Historical outcomes under the selected screen</x:v>
      </x:c>
      <x:c r="B11" s="80" t="str">
        <x:v>Historical outcomes under the selected screen</x:v>
      </x:c>
      <x:c r="C11" s="80" t="str">
        <x:v>Historical outcomes under the selected screen</x:v>
      </x:c>
      <x:c r="D11" s="80" t="str">
        <x:v>Historical outcomes under the selected screen</x:v>
      </x:c>
      <x:c r="E11" s="80" t="str">
        <x:v>Historical outcomes under the selected screen</x:v>
      </x:c>
      <x:c r="F11" s="80" t="str">
        <x:v>Historical outcomes under the selected screen</x:v>
      </x:c>
    </x:row>
    <x:row r="12" ht="28" customHeight="1">
      <x:c r="A12" s="70" t="str">
        <x:v>Group</x:v>
      </x:c>
      <x:c r="B12" s="70" t="str">
        <x:v>Booking decisions</x:v>
      </x:c>
      <x:c r="C12" s="70" t="str">
        <x:v>Later late cancellations</x:v>
      </x:c>
      <x:c r="D12" s="70" t="str">
        <x:v>Rate</x:v>
      </x:c>
    </x:row>
    <x:row r="13">
      <x:c r="A13" s="73" t="str">
        <x:v>Meets 10+ history and &lt;10% prior rate</x:v>
      </x:c>
      <x:c r="B13" s="74" t="n">
        <x:v>589</x:v>
      </x:c>
      <x:c r="C13" s="74" t="n">
        <x:v>44</x:v>
      </x:c>
      <x:c r="D13" s="76" t="n">
        <x:f>C13/B13</x:f>
        <x:v>0.07470288624787776</x:v>
      </x:c>
    </x:row>
    <x:row r="14">
      <x:c r="A14" s="62" t="str">
        <x:v>Other target-window decisions</x:v>
      </x:c>
      <x:c r="B14" s="75" t="n">
        <x:v>1153</x:v>
      </x:c>
      <x:c r="C14" s="75" t="n">
        <x:v>181</x:v>
      </x:c>
      <x:c r="D14" s="77" t="n">
        <x:f>C14/B14</x:f>
        <x:v>0.1569817866435386</x:v>
      </x:c>
    </x:row>
    <x:row r="17" ht="22" customHeight="1">
      <x:c r="A17" s="80" t="str">
        <x:v>Prior late-rate bands | minimum history = 10</x:v>
      </x:c>
      <x:c r="B17" s="80" t="str">
        <x:v>Prior late-rate bands | minimum history = 10</x:v>
      </x:c>
      <x:c r="C17" s="80" t="str">
        <x:v>Prior late-rate bands | minimum history = 10</x:v>
      </x:c>
      <x:c r="D17" s="80" t="str">
        <x:v>Prior late-rate bands | minimum history = 10</x:v>
      </x:c>
      <x:c r="E17" s="80" t="str">
        <x:v>Prior late-rate bands | minimum history = 10</x:v>
      </x:c>
      <x:c r="F17" s="80" t="str">
        <x:v>Prior late-rate bands | minimum history = 10</x:v>
      </x:c>
    </x:row>
    <x:row r="18" ht="28" customHeight="1">
      <x:c r="A18" s="70" t="str">
        <x:v>Prior late-rate band</x:v>
      </x:c>
      <x:c r="B18" s="70" t="str">
        <x:v>Booking decisions</x:v>
      </x:c>
      <x:c r="C18" s="70" t="str">
        <x:v>Later late cancellations</x:v>
      </x:c>
      <x:c r="D18" s="70" t="str">
        <x:v>Rate</x:v>
      </x:c>
    </x:row>
    <x:row r="19">
      <x:c r="A19" s="73" t="str">
        <x:v>&lt;10%</x:v>
      </x:c>
      <x:c r="B19" s="74" t="n">
        <x:v>589</x:v>
      </x:c>
      <x:c r="C19" s="74" t="n">
        <x:v>44</x:v>
      </x:c>
      <x:c r="D19" s="76" t="n">
        <x:f>C19/B19</x:f>
        <x:v>0.07470288624787776</x:v>
      </x:c>
    </x:row>
    <x:row r="20">
      <x:c r="A20" s="62" t="str">
        <x:v>10–&lt;20%</x:v>
      </x:c>
      <x:c r="B20" s="75" t="n">
        <x:v>142</x:v>
      </x:c>
      <x:c r="C20" s="75" t="n">
        <x:v>21</x:v>
      </x:c>
      <x:c r="D20" s="77" t="n">
        <x:f>C20/B20</x:f>
        <x:v>0.14788732394366197</x:v>
      </x:c>
    </x:row>
    <x:row r="21">
      <x:c r="A21" s="62" t="str">
        <x:v>20–&lt;30%</x:v>
      </x:c>
      <x:c r="B21" s="75" t="n">
        <x:v>74</x:v>
      </x:c>
      <x:c r="C21" s="75" t="n">
        <x:v>17</x:v>
      </x:c>
      <x:c r="D21" s="77" t="n">
        <x:f>C21/B21</x:f>
        <x:v>0.22972972972972974</x:v>
      </x:c>
    </x:row>
    <x:row r="22">
      <x:c r="A22" s="62" t="str">
        <x:v>30%+</x:v>
      </x:c>
      <x:c r="B22" s="75" t="n">
        <x:v>46</x:v>
      </x:c>
      <x:c r="C22" s="75" t="n">
        <x:v>16</x:v>
      </x:c>
      <x:c r="D22" s="77" t="n">
        <x:f>C22/B22</x:f>
        <x:v>0.34782608695652173</x:v>
      </x:c>
    </x:row>
    <x:row r="25" ht="22" customHeight="1">
      <x:c r="A25" s="80" t="str">
        <x:v>Minimum-history sensitivity | prior rate below 10%</x:v>
      </x:c>
      <x:c r="B25" s="80" t="str">
        <x:v>Minimum-history sensitivity | prior rate below 10%</x:v>
      </x:c>
      <x:c r="C25" s="80" t="str">
        <x:v>Minimum-history sensitivity | prior rate below 10%</x:v>
      </x:c>
      <x:c r="D25" s="80" t="str">
        <x:v>Minimum-history sensitivity | prior rate below 10%</x:v>
      </x:c>
      <x:c r="E25" s="80" t="str">
        <x:v>Minimum-history sensitivity | prior rate below 10%</x:v>
      </x:c>
      <x:c r="F25" s="80" t="str">
        <x:v>Minimum-history sensitivity | prior rate below 10%</x:v>
      </x:c>
      <x:c r="G25" s="80" t="str">
        <x:v>Minimum-history sensitivity | prior rate below 10%</x:v>
      </x:c>
    </x:row>
    <x:row r="26" ht="28" customHeight="1">
      <x:c r="A26" s="70" t="str">
        <x:v>Minimum prior shifts</x:v>
      </x:c>
      <x:c r="B26" s="70" t="str">
        <x:v>Qualifying decisions</x:v>
      </x:c>
      <x:c r="C26" s="70" t="str">
        <x:v>Coverage</x:v>
      </x:c>
      <x:c r="D26" s="70" t="str">
        <x:v>Qualifying late cancels</x:v>
      </x:c>
      <x:c r="E26" s="70" t="str">
        <x:v>Qualifying rate</x:v>
      </x:c>
      <x:c r="F26" s="70" t="str">
        <x:v>Other late cancels</x:v>
      </x:c>
      <x:c r="G26" s="70" t="str">
        <x:v>Other rate</x:v>
      </x:c>
    </x:row>
    <x:row r="27">
      <x:c r="A27" s="62" t="n">
        <x:v>5</x:v>
      </x:c>
      <x:c r="B27" s="75" t="n">
        <x:v>759</x:v>
      </x:c>
      <x:c r="C27" s="77" t="n">
        <x:f>B27/$E$7</x:f>
        <x:v>0.4357060849598163</x:v>
      </x:c>
      <x:c r="D27" s="75" t="n">
        <x:v>61</x:v>
      </x:c>
      <x:c r="E27" s="77" t="n">
        <x:f>D27/B27</x:f>
        <x:v>0.08036890645586298</x:v>
      </x:c>
      <x:c r="F27" s="75" t="n">
        <x:v>164</x:v>
      </x:c>
      <x:c r="G27" s="77" t="n">
        <x:f>F27/($E$7-B27)</x:f>
        <x:v>0.16683621566632756</x:v>
      </x:c>
    </x:row>
    <x:row r="28">
      <x:c r="A28" s="73" t="n">
        <x:v>10</x:v>
      </x:c>
      <x:c r="B28" s="74" t="n">
        <x:v>589</x:v>
      </x:c>
      <x:c r="C28" s="76" t="n">
        <x:f>B28/$E$7</x:f>
        <x:v>0.3381171067738232</x:v>
      </x:c>
      <x:c r="D28" s="74" t="n">
        <x:v>44</x:v>
      </x:c>
      <x:c r="E28" s="76" t="n">
        <x:f>D28/B28</x:f>
        <x:v>0.07470288624787776</x:v>
      </x:c>
      <x:c r="F28" s="74" t="n">
        <x:v>181</x:v>
      </x:c>
      <x:c r="G28" s="76" t="n">
        <x:f>F28/($E$7-B28)</x:f>
        <x:v>0.1569817866435386</x:v>
      </x:c>
    </x:row>
    <x:row r="29">
      <x:c r="A29" s="62" t="n">
        <x:v>15</x:v>
      </x:c>
      <x:c r="B29" s="75" t="n">
        <x:v>482</x:v>
      </x:c>
      <x:c r="C29" s="77" t="n">
        <x:f>B29/$E$7</x:f>
        <x:v>0.2766934557979334</x:v>
      </x:c>
      <x:c r="D29" s="75" t="n">
        <x:v>38</x:v>
      </x:c>
      <x:c r="E29" s="77" t="n">
        <x:f>D29/B29</x:f>
        <x:v>0.07883817427385892</x:v>
      </x:c>
      <x:c r="F29" s="75" t="n">
        <x:v>187</x:v>
      </x:c>
      <x:c r="G29" s="77" t="n">
        <x:f>F29/($E$7-B29)</x:f>
        <x:v>0.1484126984126984</x:v>
      </x:c>
    </x:row>
    <x:row r="32">
      <x:c r="A32" s="99" t="str">
        <x:v>Rule choice: the 10-shift row retains 589 of 1,742 target-window decisions (33.81%) and records 44 later same-HCP late cancellations (7.47%). The 10-shift / &lt;10% screen is a starting rule for a randomized pilot, not an optimal production threshold. Low-history HCPs are not labelled unreliable; the timed fallback preserves access to the wider qualified pool.</x:v>
      </x:c>
      <x:c r="B32" s="100"/>
      <x:c r="C32" s="100"/>
      <x:c r="D32" s="100"/>
      <x:c r="E32" s="100"/>
      <x:c r="F32" s="100"/>
      <x:c r="G32" s="100"/>
      <x:c r="H32" s="101"/>
    </x:row>
    <x:row r="33">
      <x:c r="A33" s="102"/>
      <x:c r="B33" s="103"/>
      <x:c r="C33" s="103"/>
      <x:c r="D33" s="103"/>
      <x:c r="E33" s="103"/>
      <x:c r="F33" s="103"/>
      <x:c r="G33" s="103"/>
      <x:c r="H33" s="104"/>
    </x:row>
    <x:row r="34">
      <x:c r="A34" s="102"/>
      <x:c r="B34" s="103"/>
      <x:c r="C34" s="103"/>
      <x:c r="D34" s="103"/>
      <x:c r="E34" s="103"/>
      <x:c r="F34" s="103"/>
      <x:c r="G34" s="103"/>
      <x:c r="H34" s="104"/>
    </x:row>
    <x:row r="35">
      <x:c r="A35" s="105"/>
      <x:c r="B35" s="106"/>
      <x:c r="C35" s="106"/>
      <x:c r="D35" s="106"/>
      <x:c r="E35" s="106"/>
      <x:c r="F35" s="106"/>
      <x:c r="G35" s="106"/>
      <x:c r="H35" s="107"/>
    </x:row>
  </x:sheetData>
  <x:mergeCells>
    <x:mergeCell ref="A1:N2"/>
    <x:mergeCell ref="A3:N4"/>
    <x:mergeCell ref="A5:F5"/>
    <x:mergeCell ref="A11:F11"/>
    <x:mergeCell ref="A17:F17"/>
    <x:mergeCell ref="A25:G25"/>
    <x:mergeCell ref="A32:H35"/>
  </x:mergeCells>
  <x:pageMargins left="0.7" right="0.7" top="0.75" bottom="0.75" header="0.3" footer="0.3"/>
  <x:drawing xmlns:r="http://schemas.openxmlformats.org/officeDocument/2006/relationships" r:id="Rdcb934212c4448f1"/>
</x:worksheet>
</file>

<file path=xl/worksheets/sheet6.xml><?xml version="1.0" encoding="utf-8"?>
<x:worksheet xmlns:x="http://schemas.openxmlformats.org/spreadsheetml/2006/main">
  <x:sheetViews>
    <x:sheetView showGridLines="0" workbookViewId="0"/>
  </x:sheetViews>
  <x:sheetFormatPr defaultRowHeight="15"/>
  <x:cols>
    <x:col min="1" max="1" width="15" hidden="0" customWidth="1"/>
    <x:col min="2" max="2" width="14" hidden="0" customWidth="1"/>
    <x:col min="3" max="3" width="38" hidden="0" customWidth="1"/>
    <x:col min="4" max="4" width="48" hidden="0" customWidth="1"/>
    <x:col min="5" max="5" width="18" hidden="0" customWidth="1"/>
    <x:col min="6" max="6" width="44" hidden="0" customWidth="1"/>
  </x:cols>
  <x:sheetData>
    <x:row r="1" ht="34" customHeight="1">
      <x:c r="A1" s="4" t="str">
        <x:v>Analysis path and dispositions</x:v>
      </x:c>
      <x:c r="B1" s="4" t="str">
        <x:v>Analysis path and dispositions</x:v>
      </x:c>
      <x:c r="C1" s="4" t="str">
        <x:v>Analysis path and dispositions</x:v>
      </x:c>
      <x:c r="D1" s="4" t="str">
        <x:v>Analysis path and dispositions</x:v>
      </x:c>
      <x:c r="E1" s="4" t="str">
        <x:v>Analysis path and dispositions</x:v>
      </x:c>
      <x:c r="F1" s="4" t="str">
        <x:v>Analysis path and dispositions</x:v>
      </x:c>
    </x:row>
    <x:row r="2" ht="34" customHeight="1">
      <x:c r="A2" s="4" t="str">
        <x:v>Analysis path and dispositions</x:v>
      </x:c>
      <x:c r="B2" s="4" t="str">
        <x:v>Analysis path and dispositions</x:v>
      </x:c>
      <x:c r="C2" s="4" t="str">
        <x:v>Analysis path and dispositions</x:v>
      </x:c>
      <x:c r="D2" s="4" t="str">
        <x:v>Analysis path and dispositions</x:v>
      </x:c>
      <x:c r="E2" s="4" t="str">
        <x:v>Analysis path and dispositions</x:v>
      </x:c>
      <x:c r="F2" s="4" t="str">
        <x:v>Analysis path and dispositions</x:v>
      </x:c>
    </x:row>
    <x:row r="3" ht="24" customHeight="1">
      <x:c r="A3" s="8" t="str">
        <x:v>The issue tree started broad. This sheet shows which evidence was selected, retained as context, or deprioritized before the proposal was written.</x:v>
      </x:c>
      <x:c r="B3" s="8" t="str">
        <x:v>The issue tree started broad. This sheet shows which evidence was selected, retained as context, or deprioritized before the proposal was written.</x:v>
      </x:c>
      <x:c r="C3" s="8" t="str">
        <x:v>The issue tree started broad. This sheet shows which evidence was selected, retained as context, or deprioritized before the proposal was written.</x:v>
      </x:c>
      <x:c r="D3" s="8" t="str">
        <x:v>The issue tree started broad. This sheet shows which evidence was selected, retained as context, or deprioritized before the proposal was written.</x:v>
      </x:c>
      <x:c r="E3" s="8" t="str">
        <x:v>The issue tree started broad. This sheet shows which evidence was selected, retained as context, or deprioritized before the proposal was written.</x:v>
      </x:c>
      <x:c r="F3" s="8" t="str">
        <x:v>The issue tree started broad. This sheet shows which evidence was selected, retained as context, or deprioritized before the proposal was written.</x:v>
      </x:c>
    </x:row>
    <x:row r="4" ht="24" customHeight="1">
      <x:c r="A4" s="8" t="str">
        <x:v>The issue tree started broad. This sheet shows which evidence was selected, retained as context, or deprioritized before the proposal was written.</x:v>
      </x:c>
      <x:c r="B4" s="8" t="str">
        <x:v>The issue tree started broad. This sheet shows which evidence was selected, retained as context, or deprioritized before the proposal was written.</x:v>
      </x:c>
      <x:c r="C4" s="8" t="str">
        <x:v>The issue tree started broad. This sheet shows which evidence was selected, retained as context, or deprioritized before the proposal was written.</x:v>
      </x:c>
      <x:c r="D4" s="8" t="str">
        <x:v>The issue tree started broad. This sheet shows which evidence was selected, retained as context, or deprioritized before the proposal was written.</x:v>
      </x:c>
      <x:c r="E4" s="8" t="str">
        <x:v>The issue tree started broad. This sheet shows which evidence was selected, retained as context, or deprioritized before the proposal was written.</x:v>
      </x:c>
      <x:c r="F4" s="8" t="str">
        <x:v>The issue tree started broad. This sheet shows which evidence was selected, retained as context, or deprioritized before the proposal was written.</x:v>
      </x:c>
    </x:row>
    <x:row r="5" ht="28" customHeight="1">
      <x:c r="A5" s="70" t="str">
        <x:v>Stage</x:v>
      </x:c>
      <x:c r="B5" s="70" t="str">
        <x:v>Analysis</x:v>
      </x:c>
      <x:c r="C5" s="70" t="str">
        <x:v>Question</x:v>
      </x:c>
      <x:c r="D5" s="70" t="str">
        <x:v>Evidence</x:v>
      </x:c>
      <x:c r="E5" s="70" t="str">
        <x:v>Disposition</x:v>
      </x:c>
      <x:c r="F5" s="70" t="str">
        <x:v>Reason</x:v>
      </x:c>
    </x:row>
    <x:row r="6">
      <x:c r="A6" s="62" t="str">
        <x:v>Baseline</x:v>
      </x:c>
      <x:c r="B6" s="62" t="str">
        <x:v>B-01 to B-03</x:v>
      </x:c>
      <x:c r="C6" s="62" t="str">
        <x:v>How large are late cancellation and NCNS, and do they overlap?</x:v>
      </x:c>
      <x:c r="D6" s="62" t="str">
        <x:v>2,486 late-cancellation shifts; 1,253 NCNS shifts; 67 with both flags</x:v>
      </x:c>
      <x:c r="E6" s="62" t="str">
        <x:v>Retained</x:v>
      </x:c>
      <x:c r="F6" s="62" t="str">
        <x:v>Defines the outcome and NCNS guardrail</x:v>
      </x:c>
    </x:row>
    <x:row r="7">
      <x:c r="A7" s="62" t="str">
        <x:v>Explore</x:v>
      </x:c>
      <x:c r="B7" s="62" t="str">
        <x:v>C-01</x:v>
      </x:c>
      <x:c r="C7" s="62" t="str">
        <x:v>Do outcomes differ by booking-event count?</x:v>
      </x:c>
      <x:c r="D7" s="62" t="str">
        <x:v>Late-cancellation rate: 7.47% at one event; 21.07% at two; 32.30% at three+</x:v>
      </x:c>
      <x:c r="E7" s="62" t="str">
        <x:v>Supporting</x:v>
      </x:c>
      <x:c r="F7" s="62" t="str">
        <x:v>Event count mixes possible mechanisms</x:v>
      </x:c>
    </x:row>
    <x:row r="8">
      <x:c r="A8" s="62" t="str">
        <x:v>Explore</x:v>
      </x:c>
      <x:c r="B8" s="62" t="str">
        <x:v>C-02</x:v>
      </x:c>
      <x:c r="C8" s="62" t="str">
        <x:v>Do outcomes differ by booked-HCP count?</x:v>
      </x:c>
      <x:c r="D8" s="62" t="str">
        <x:v>Late-cancellation rate: 7.64% at one HCP; 21.54% at two; 35.26% at three+</x:v>
      </x:c>
      <x:c r="E8" s="62" t="str">
        <x:v>Supporting</x:v>
      </x:c>
      <x:c r="F8" s="62" t="str">
        <x:v>Association without a single controllable mechanism</x:v>
      </x:c>
    </x:row>
    <x:row r="9">
      <x:c r="A9" s="62" t="str">
        <x:v>Explore</x:v>
      </x:c>
      <x:c r="B9" s="62" t="str">
        <x:v>C-03</x:v>
      </x:c>
      <x:c r="C9" s="62" t="str">
        <x:v>Does reliability differ by earliest booking lead time?</x:v>
      </x:c>
      <x:c r="D9" s="62" t="str">
        <x:v>24–&lt;72h ranked highest: 205 / 1,505 = 13.62%</x:v>
      </x:c>
      <x:c r="E9" s="62" t="str">
        <x:v>Selected</x:v>
      </x:c>
      <x:c r="F9" s="62" t="str">
        <x:v>Defines a bounded pilot population</x:v>
      </x:c>
    </x:row>
    <x:row r="10">
      <x:c r="A10" s="62" t="str">
        <x:v>Explore</x:v>
      </x:c>
      <x:c r="B10" s="62" t="str">
        <x:v>C-04</x:v>
      </x:c>
      <x:c r="C10" s="62" t="str">
        <x:v>Do outcomes differ by shift or professional type?</x:v>
      </x:c>
      <x:c r="D10" s="62" t="str">
        <x:v>Rates varied; several groups were small</x:v>
      </x:c>
      <x:c r="E10" s="62" t="str">
        <x:v>Deprioritized</x:v>
      </x:c>
      <x:c r="F10" s="62" t="str">
        <x:v>No single controllable mechanism</x:v>
      </x:c>
    </x:row>
    <x:row r="11">
      <x:c r="A11" s="62" t="str">
        <x:v>Explore</x:v>
      </x:c>
      <x:c r="B11" s="62" t="str">
        <x:v>C-05</x:v>
      </x:c>
      <x:c r="C11" s="62" t="str">
        <x:v>Do outcomes differ by facility?</x:v>
      </x:c>
      <x:c r="D11" s="62" t="str">
        <x:v>Rates varied across 67 facilities; denominators ranged from 2 to 3,138</x:v>
      </x:c>
      <x:c r="E11" s="62" t="str">
        <x:v>Deprioritized</x:v>
      </x:c>
      <x:c r="F11" s="62" t="str">
        <x:v>Denominator instability; use as pilot review segment</x:v>
      </x:c>
    </x:row>
    <x:row r="12">
      <x:c r="A12" s="62" t="str">
        <x:v>Explore</x:v>
      </x:c>
      <x:c r="B12" s="62" t="str">
        <x:v>C-06</x:v>
      </x:c>
      <x:c r="C12" s="62" t="str">
        <x:v>Are negative lead-time records distinct?</x:v>
      </x:c>
      <x:c r="D12" s="62" t="str">
        <x:v>136-shift exception group</x:v>
      </x:c>
      <x:c r="E12" s="62" t="str">
        <x:v>Deprioritized</x:v>
      </x:c>
      <x:c r="F12" s="62" t="str">
        <x:v>Ambiguous source-data condition</x:v>
      </x:c>
    </x:row>
    <x:row r="13">
      <x:c r="A13" s="62" t="str">
        <x:v>Drill-down</x:v>
      </x:c>
      <x:c r="B13" s="62" t="str">
        <x:v>D-01</x:v>
      </x:c>
      <x:c r="C13" s="62" t="str">
        <x:v>How common is late cancellation → later booking → later NCNS?</x:v>
      </x:c>
      <x:c r="D13" s="62" t="str">
        <x:v>19 of 41,040 Shift IDs</x:v>
      </x:c>
      <x:c r="E13" s="62" t="str">
        <x:v>Deprioritized</x:v>
      </x:c>
      <x:c r="F13" s="62" t="str">
        <x:v>Too narrow for the main response</x:v>
      </x:c>
    </x:row>
    <x:row r="14">
      <x:c r="A14" s="62" t="str">
        <x:v>Drill-down</x:v>
      </x:c>
      <x:c r="B14" s="62" t="str">
        <x:v>D-02</x:v>
      </x:c>
      <x:c r="C14" s="62" t="str">
        <x:v>Do repeated events differ by number of HCPs?</x:v>
      </x:c>
      <x:c r="D14" s="62" t="str">
        <x:v>Both multi-event groups had higher observed rates than the one-event group</x:v>
      </x:c>
      <x:c r="E14" s="62" t="str">
        <x:v>Supporting</x:v>
      </x:c>
      <x:c r="F14" s="62" t="str">
        <x:v>Did not isolate one intervention</x:v>
      </x:c>
    </x:row>
    <x:row r="15">
      <x:c r="A15" s="62" t="str">
        <x:v>Drill-down</x:v>
      </x:c>
      <x:c r="B15" s="62" t="str">
        <x:v>D-03</x:v>
      </x:c>
      <x:c r="C15" s="62" t="str">
        <x:v>Does the timing result persist with exactly one booking event?</x:v>
      </x:c>
      <x:c r="D15" s="62" t="str">
        <x:v>24–&lt;72h ranked highest: 163 / 1,427 = 11.42%</x:v>
      </x:c>
      <x:c r="E15" s="62" t="str">
        <x:v>Selected</x:v>
      </x:c>
      <x:c r="F15" s="62" t="str">
        <x:v>Checks the timing pattern without multi-booking histories</x:v>
      </x:c>
    </x:row>
    <x:row r="16">
      <x:c r="A16" s="62" t="str">
        <x:v>Validate</x:v>
      </x:c>
      <x:c r="B16" s="62" t="str">
        <x:v>V-01</x:v>
      </x:c>
      <x:c r="C16" s="62" t="str">
        <x:v>Do selected populations and outcomes reconcile?</x:v>
      </x:c>
      <x:c r="D16" s="62" t="str">
        <x:v>All retained arithmetic and scope checks passed</x:v>
      </x:c>
      <x:c r="E16" s="62" t="str">
        <x:v>Retained</x:v>
      </x:c>
      <x:c r="F16" s="62" t="str">
        <x:v>Confirms reproducibility, not causation</x:v>
      </x:c>
    </x:row>
    <x:row r="17">
      <x:c r="A17" s="62" t="str">
        <x:v>Rule screen</x:v>
      </x:c>
      <x:c r="B17" s="62" t="str">
        <x:v>W-01</x:v>
      </x:c>
      <x:c r="C17" s="62" t="str">
        <x:v>Is a worker-reliability input mechanically available?</x:v>
      </x:c>
      <x:c r="D17" s="62" t="str">
        <x:v>All-period descriptive screen</x:v>
      </x:c>
      <x:c r="E17" s="62" t="str">
        <x:v>Replaced</x:v>
      </x:c>
      <x:c r="F17" s="62" t="str">
        <x:v>Used future information relative to earlier decisions</x:v>
      </x:c>
    </x:row>
    <x:row r="18">
      <x:c r="A18" s="62" t="str">
        <x:v>Rule screen</x:v>
      </x:c>
      <x:c r="B18" s="62" t="str">
        <x:v>W-02</x:v>
      </x:c>
      <x:c r="C18" s="62" t="str">
        <x:v>Can history known before booking separate later same-HCP risk?</x:v>
      </x:c>
      <x:c r="D18" s="62" t="str">
        <x:v>589 qualifying decisions at 7.47%; 1,153 other decisions at 15.70%</x:v>
      </x:c>
      <x:c r="E18" s="62" t="str">
        <x:v>Selected</x:v>
      </x:c>
      <x:c r="F18" s="62" t="str">
        <x:v>Supports a randomized preferred-access pilot</x:v>
      </x:c>
    </x:row>
    <x:row r="19">
      <x:c r="A19" s="62" t="str">
        <x:v>Decision</x:v>
      </x:c>
      <x:c r="B19" s="62" t="str">
        <x:v>Pilot</x:v>
      </x:c>
      <x:c r="C19" s="62" t="str">
        <x:v>Can preferred access reduce late cancellation without harming marketplace health?</x:v>
      </x:c>
      <x:c r="D19" s="62" t="str">
        <x:v>Not answerable from historical observational data</x:v>
      </x:c>
      <x:c r="E19" s="62" t="str">
        <x:v>Test</x:v>
      </x:c>
      <x:c r="F19" s="62" t="str">
        <x:v>Requires the proposed randomized pilot and guardrails</x:v>
      </x:c>
    </x:row>
    <x:row r="22">
      <x:c r="A22" s="99" t="str">
        <x:v>Disposition is not a truth label. Deprioritized and not-testable branches can still be real; they were not carried into this proposal because the supplied records did not provide a strong, controllable, and defensible route. The full hypothesis catalog remains in analysis/issue-tree.md.</x:v>
      </x:c>
      <x:c r="B22" s="100"/>
      <x:c r="C22" s="100"/>
      <x:c r="D22" s="100"/>
      <x:c r="E22" s="100"/>
      <x:c r="F22" s="101"/>
    </x:row>
    <x:row r="23">
      <x:c r="A23" s="102"/>
      <x:c r="B23" s="103"/>
      <x:c r="C23" s="103"/>
      <x:c r="D23" s="103"/>
      <x:c r="E23" s="103"/>
      <x:c r="F23" s="104"/>
    </x:row>
    <x:row r="24">
      <x:c r="A24" s="102"/>
      <x:c r="B24" s="103"/>
      <x:c r="C24" s="103"/>
      <x:c r="D24" s="103"/>
      <x:c r="E24" s="103"/>
      <x:c r="F24" s="104"/>
    </x:row>
    <x:row r="25">
      <x:c r="A25" s="105"/>
      <x:c r="B25" s="106"/>
      <x:c r="C25" s="106"/>
      <x:c r="D25" s="106"/>
      <x:c r="E25" s="106"/>
      <x:c r="F25" s="107"/>
    </x:row>
  </x:sheetData>
  <x:mergeCells>
    <x:mergeCell ref="A1:F2"/>
    <x:mergeCell ref="A3:F4"/>
    <x:mergeCell ref="A22:F25"/>
  </x:mergeCells>
  <x:conditionalFormatting sqref="E6:E19">
    <x:cfRule type="containsText" dxfId="0" priority="1" operator="containsText" text="Selected"/>
    <x:cfRule type="containsText" dxfId="1" priority="2" operator="containsText" text="Retained"/>
    <x:cfRule type="containsText" dxfId="2" priority="3" operator="containsText" text="Supporting"/>
    <x:cfRule type="containsText" dxfId="3" priority="4" operator="containsText" text="Deprioritized"/>
  </x:conditionalFormatting>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40" hidden="0" customWidth="1"/>
    <x:col min="2" max="2" width="19" hidden="0" customWidth="1"/>
    <x:col min="3" max="3" width="19" hidden="0" customWidth="1"/>
    <x:col min="4" max="4" width="22" hidden="0" customWidth="1"/>
    <x:col min="5" max="5" width="48" hidden="0" customWidth="1"/>
  </x:cols>
  <x:sheetData>
    <x:row r="1" ht="34" customHeight="1">
      <x:c r="A1" s="4" t="str">
        <x:v>Formula and reconciliation checks</x:v>
      </x:c>
      <x:c r="B1" s="4" t="str">
        <x:v>Formula and reconciliation checks</x:v>
      </x:c>
      <x:c r="C1" s="4" t="str">
        <x:v>Formula and reconciliation checks</x:v>
      </x:c>
      <x:c r="D1" s="4" t="str">
        <x:v>Formula and reconciliation checks</x:v>
      </x:c>
      <x:c r="E1" s="4" t="str">
        <x:v>Formula and reconciliation checks</x:v>
      </x:c>
    </x:row>
    <x:row r="2" ht="34" customHeight="1">
      <x:c r="A2" s="4" t="str">
        <x:v>Formula and reconciliation checks</x:v>
      </x:c>
      <x:c r="B2" s="4" t="str">
        <x:v>Formula and reconciliation checks</x:v>
      </x:c>
      <x:c r="C2" s="4" t="str">
        <x:v>Formula and reconciliation checks</x:v>
      </x:c>
      <x:c r="D2" s="4" t="str">
        <x:v>Formula and reconciliation checks</x:v>
      </x:c>
      <x:c r="E2" s="4" t="str">
        <x:v>Formula and reconciliation checks</x:v>
      </x:c>
    </x:row>
    <x:row r="3" ht="24" customHeight="1">
      <x:c r="A3" s="8" t="str">
        <x:v>PASS confirms arithmetic and scope consistency. It does not prove causal validity or completeness of the supplied data.</x:v>
      </x:c>
      <x:c r="B3" s="8" t="str">
        <x:v>PASS confirms arithmetic and scope consistency. It does not prove causal validity or completeness of the supplied data.</x:v>
      </x:c>
      <x:c r="C3" s="8" t="str">
        <x:v>PASS confirms arithmetic and scope consistency. It does not prove causal validity or completeness of the supplied data.</x:v>
      </x:c>
      <x:c r="D3" s="8" t="str">
        <x:v>PASS confirms arithmetic and scope consistency. It does not prove causal validity or completeness of the supplied data.</x:v>
      </x:c>
      <x:c r="E3" s="8" t="str">
        <x:v>PASS confirms arithmetic and scope consistency. It does not prove causal validity or completeness of the supplied data.</x:v>
      </x:c>
    </x:row>
    <x:row r="4" ht="24" customHeight="1">
      <x:c r="A4" s="8" t="str">
        <x:v>PASS confirms arithmetic and scope consistency. It does not prove causal validity or completeness of the supplied data.</x:v>
      </x:c>
      <x:c r="B4" s="8" t="str">
        <x:v>PASS confirms arithmetic and scope consistency. It does not prove causal validity or completeness of the supplied data.</x:v>
      </x:c>
      <x:c r="C4" s="8" t="str">
        <x:v>PASS confirms arithmetic and scope consistency. It does not prove causal validity or completeness of the supplied data.</x:v>
      </x:c>
      <x:c r="D4" s="8" t="str">
        <x:v>PASS confirms arithmetic and scope consistency. It does not prove causal validity or completeness of the supplied data.</x:v>
      </x:c>
      <x:c r="E4" s="8" t="str">
        <x:v>PASS confirms arithmetic and scope consistency. It does not prove causal validity or completeness of the supplied data.</x:v>
      </x:c>
    </x:row>
    <x:row r="5" ht="28" customHeight="1">
      <x:c r="A5" s="70" t="str">
        <x:v>Check</x:v>
      </x:c>
      <x:c r="B5" s="70" t="str">
        <x:v>Formula-derived result</x:v>
      </x:c>
      <x:c r="C5" s="70" t="str">
        <x:v>Expected</x:v>
      </x:c>
      <x:c r="D5" s="70" t="str">
        <x:v>Status</x:v>
      </x:c>
    </x:row>
    <x:row r="6">
      <x:c r="A6" s="62" t="str">
        <x:v>Baseline late-cancellation rate</x:v>
      </x:c>
      <x:c r="B6" s="77" t="n">
        <x:f>'02 Explorer Tables'!D7</x:f>
        <x:v>0.06057504873294347</x:v>
      </x:c>
      <x:c r="C6" s="77" t="n">
        <x:v>0.06057504873294347</x:v>
      </x:c>
      <x:c r="D6" s="62" t="str">
        <x:f>IF(ABS(B6-C6)&lt;0.0000001,"PASS","CHECK")</x:f>
        <x:v>PASS</x:v>
      </x:c>
    </x:row>
    <x:row r="7">
      <x:c r="A7" s="62" t="str">
        <x:v>Baseline NCNS rate</x:v>
      </x:c>
      <x:c r="B7" s="77" t="n">
        <x:f>'02 Explorer Tables'!D8</x:f>
        <x:v>0.030531189083820662</x:v>
      </x:c>
      <x:c r="C7" s="77" t="n">
        <x:v>0.030531189083820662</x:v>
      </x:c>
      <x:c r="D7" s="62" t="str">
        <x:f>IF(ABS(B7-C7)&lt;0.0000001,"PASS","CHECK")</x:f>
        <x:v>PASS</x:v>
      </x:c>
    </x:row>
    <x:row r="8">
      <x:c r="A8" s="62" t="str">
        <x:v>B-03 overlap total</x:v>
      </x:c>
      <x:c r="B8" s="75" t="n">
        <x:f>'02 Explorer Tables'!D14</x:f>
        <x:v>41040</x:v>
      </x:c>
      <x:c r="C8" s="75" t="n">
        <x:v>41040</x:v>
      </x:c>
      <x:c r="D8" s="62" t="str">
        <x:f>IF(B8=C8,"PASS","CHECK")</x:f>
        <x:v>PASS</x:v>
      </x:c>
    </x:row>
    <x:row r="9">
      <x:c r="A9" s="62" t="str">
        <x:v>C-01 shift population</x:v>
      </x:c>
      <x:c r="B9" s="75" t="n">
        <x:f>SUM('02 Explorer Tables'!B19:B22)</x:f>
        <x:v>41040</x:v>
      </x:c>
      <x:c r="C9" s="75" t="n">
        <x:v>41040</x:v>
      </x:c>
      <x:c r="D9" s="62" t="str">
        <x:f>IF(B9=C9,"PASS","CHECK")</x:f>
        <x:v>PASS</x:v>
      </x:c>
    </x:row>
    <x:row r="10">
      <x:c r="A10" s="62" t="str">
        <x:v>C-02 shift population</x:v>
      </x:c>
      <x:c r="B10" s="75" t="n">
        <x:f>SUM('02 Explorer Tables'!B26:B29)</x:f>
        <x:v>41040</x:v>
      </x:c>
      <x:c r="C10" s="75" t="n">
        <x:v>41040</x:v>
      </x:c>
      <x:c r="D10" s="62" t="str">
        <x:f>IF(B10=C10,"PASS","CHECK")</x:f>
        <x:v>PASS</x:v>
      </x:c>
    </x:row>
    <x:row r="11">
      <x:c r="A11" s="62" t="str">
        <x:v>D-01 shift population</x:v>
      </x:c>
      <x:c r="B11" s="75" t="n">
        <x:f>SUM('02 Explorer Tables'!B56:B59)</x:f>
        <x:v>41040</x:v>
      </x:c>
      <x:c r="C11" s="75" t="n">
        <x:v>41040</x:v>
      </x:c>
      <x:c r="D11" s="62" t="str">
        <x:f>IF(B11=C11,"PASS","CHECK")</x:f>
        <x:v>PASS</x:v>
      </x:c>
    </x:row>
    <x:row r="12">
      <x:c r="A12" s="62" t="str">
        <x:v>D-02 shift population</x:v>
      </x:c>
      <x:c r="B12" s="75" t="n">
        <x:f>SUM('02 Explorer Tables'!B63:B66)</x:f>
        <x:v>41040</x:v>
      </x:c>
      <x:c r="C12" s="75" t="n">
        <x:v>41040</x:v>
      </x:c>
      <x:c r="D12" s="62" t="str">
        <x:f>IF(B12=C12,"PASS","CHECK")</x:f>
        <x:v>PASS</x:v>
      </x:c>
    </x:row>
    <x:row r="13">
      <x:c r="A13" s="62" t="str">
        <x:v>D-02 late-cancellation total</x:v>
      </x:c>
      <x:c r="B13" s="75" t="n">
        <x:f>SUM('02 Explorer Tables'!C63:C66)</x:f>
        <x:v>2486</x:v>
      </x:c>
      <x:c r="C13" s="75" t="n">
        <x:v>2486</x:v>
      </x:c>
      <x:c r="D13" s="62" t="str">
        <x:f>IF(B13=C13,"PASS","CHECK")</x:f>
        <x:v>PASS</x:v>
      </x:c>
    </x:row>
    <x:row r="14">
      <x:c r="A14" s="62" t="str">
        <x:v>D-02 NCNS total</x:v>
      </x:c>
      <x:c r="B14" s="75" t="n">
        <x:f>SUM('02 Explorer Tables'!D63:D66)</x:f>
        <x:v>1253</x:v>
      </x:c>
      <x:c r="C14" s="75" t="n">
        <x:v>1253</x:v>
      </x:c>
      <x:c r="D14" s="62" t="str">
        <x:f>IF(B14=C14,"PASS","CHECK")</x:f>
        <x:v>PASS</x:v>
      </x:c>
    </x:row>
    <x:row r="15">
      <x:c r="A15" s="62" t="str">
        <x:v>C-03 retained timing shifts</x:v>
      </x:c>
      <x:c r="B15" s="75" t="n">
        <x:f>SUM('03 Timing Analysis'!B7:B11)</x:f>
        <x:v>9290</x:v>
      </x:c>
      <x:c r="C15" s="75" t="n">
        <x:v>9290</x:v>
      </x:c>
      <x:c r="D15" s="62" t="str">
        <x:f>IF(B15=C15,"PASS","CHECK")</x:f>
        <x:v>PASS</x:v>
      </x:c>
    </x:row>
    <x:row r="16">
      <x:c r="A16" s="62" t="str">
        <x:v>D-03 retained timing shifts</x:v>
      </x:c>
      <x:c r="B16" s="75" t="n">
        <x:f>SUM('03 Timing Analysis'!B16:B20)</x:f>
        <x:v>7779</x:v>
      </x:c>
      <x:c r="C16" s="75" t="n">
        <x:v>7779</x:v>
      </x:c>
      <x:c r="D16" s="62" t="str">
        <x:f>IF(B16=C16,"PASS","CHECK")</x:f>
        <x:v>PASS</x:v>
      </x:c>
    </x:row>
    <x:row r="17">
      <x:c r="A17" s="62" t="str">
        <x:v>C-03 24–&lt;72h rate</x:v>
      </x:c>
      <x:c r="B17" s="77" t="n">
        <x:f>'03 Timing Analysis'!D8</x:f>
        <x:v>0.1362126245847176</x:v>
      </x:c>
      <x:c r="C17" s="77" t="n">
        <x:v>0.1362126245847176</x:v>
      </x:c>
      <x:c r="D17" s="62" t="str">
        <x:f>IF(ABS(B17-C17)&lt;0.0000001,"PASS","CHECK")</x:f>
        <x:v>PASS</x:v>
      </x:c>
    </x:row>
    <x:row r="18">
      <x:c r="A18" s="62" t="str">
        <x:v>D-03 24–&lt;72h rate</x:v>
      </x:c>
      <x:c r="B18" s="77" t="n">
        <x:f>'03 Timing Analysis'!D17</x:f>
        <x:v>0.11422564821303434</x:v>
      </x:c>
      <x:c r="C18" s="77" t="n">
        <x:v>0.11422564821303434</x:v>
      </x:c>
      <x:c r="D18" s="62" t="str">
        <x:f>IF(ABS(B18-C18)&lt;0.0000001,"PASS","CHECK")</x:f>
        <x:v>PASS</x:v>
      </x:c>
    </x:row>
    <x:row r="19">
      <x:c r="A19" s="62" t="str">
        <x:v>W-02 decision count</x:v>
      </x:c>
      <x:c r="B19" s="75" t="n">
        <x:f>'04 Pilot Rule'!E7</x:f>
        <x:v>1742</x:v>
      </x:c>
      <x:c r="C19" s="75" t="n">
        <x:v>1742</x:v>
      </x:c>
      <x:c r="D19" s="62" t="str">
        <x:f>IF(B19=C19,"PASS","CHECK")</x:f>
        <x:v>PASS</x:v>
      </x:c>
    </x:row>
    <x:row r="20">
      <x:c r="A20" s="62" t="str">
        <x:v>W-02 qualifying + other late cancellations</x:v>
      </x:c>
      <x:c r="B20" s="75" t="n">
        <x:f>SUM('04 Pilot Rule'!C13:C14)</x:f>
        <x:v>225</x:v>
      </x:c>
      <x:c r="C20" s="75" t="n">
        <x:v>225</x:v>
      </x:c>
      <x:c r="D20" s="62" t="str">
        <x:f>IF(B20=C20,"PASS","CHECK")</x:f>
        <x:v>PASS</x:v>
      </x:c>
    </x:row>
    <x:row r="23" ht="22" customHeight="1">
      <x:c r="A23" s="80" t="str">
        <x:v>Visible formula trail</x:v>
      </x:c>
      <x:c r="B23" s="80" t="str">
        <x:v>Visible formula trail</x:v>
      </x:c>
      <x:c r="C23" s="80" t="str">
        <x:v>Visible formula trail</x:v>
      </x:c>
      <x:c r="D23" s="80" t="str">
        <x:v>Visible formula trail</x:v>
      </x:c>
      <x:c r="E23" s="80" t="str">
        <x:v>Visible formula trail</x:v>
      </x:c>
    </x:row>
    <x:row r="24" ht="28" customHeight="1">
      <x:c r="A24" s="70" t="str">
        <x:v>Published figure</x:v>
      </x:c>
      <x:c r="B24" s="70" t="str">
        <x:v>Numerator</x:v>
      </x:c>
      <x:c r="C24" s="70" t="str">
        <x:v>Denominator</x:v>
      </x:c>
      <x:c r="D24" s="70" t="str">
        <x:v>Formula</x:v>
      </x:c>
      <x:c r="E24" s="70" t="str">
        <x:v>Meaning</x:v>
      </x:c>
    </x:row>
    <x:row r="25">
      <x:c r="A25" s="62" t="str">
        <x:v>Baseline late-cancellation rate</x:v>
      </x:c>
      <x:c r="B25" s="75" t="n">
        <x:v>2486</x:v>
      </x:c>
      <x:c r="C25" s="75" t="n">
        <x:v>41040</x:v>
      </x:c>
      <x:c r="D25" s="62" t="str">
        <x:v>=2,486 / 41,040</x:v>
      </x:c>
      <x:c r="E25" s="62" t="str">
        <x:v>Affected shifts / all Metro A shifts</x:v>
      </x:c>
    </x:row>
    <x:row r="26">
      <x:c r="A26" s="62" t="str">
        <x:v>First-booking target-window rate</x:v>
      </x:c>
      <x:c r="B26" s="75" t="n">
        <x:v>205</x:v>
      </x:c>
      <x:c r="C26" s="75" t="n">
        <x:v>1505</x:v>
      </x:c>
      <x:c r="D26" s="62" t="str">
        <x:v>=205 / 1,505</x:v>
      </x:c>
      <x:c r="E26" s="62" t="str">
        <x:v>Late-cancel shifts / shifts in timing band</x:v>
      </x:c>
    </x:row>
    <x:row r="27">
      <x:c r="A27" s="62" t="str">
        <x:v>One-booking target-window rate</x:v>
      </x:c>
      <x:c r="B27" s="75" t="n">
        <x:v>163</x:v>
      </x:c>
      <x:c r="C27" s="75" t="n">
        <x:v>1427</x:v>
      </x:c>
      <x:c r="D27" s="62" t="str">
        <x:v>=163 / 1,427</x:v>
      </x:c>
      <x:c r="E27" s="62" t="str">
        <x:v>Late-cancel shifts / one-booking shifts in timing band</x:v>
      </x:c>
    </x:row>
    <x:row r="28">
      <x:c r="A28" s="62" t="str">
        <x:v>Qualifying-group rate</x:v>
      </x:c>
      <x:c r="B28" s="75" t="n">
        <x:v>44</x:v>
      </x:c>
      <x:c r="C28" s="75" t="n">
        <x:v>589</x:v>
      </x:c>
      <x:c r="D28" s="62" t="str">
        <x:v>=44 / 589</x:v>
      </x:c>
      <x:c r="E28" s="62" t="str">
        <x:v>Later same-HCP late cancels / qualifying decisions</x:v>
      </x:c>
    </x:row>
    <x:row r="29">
      <x:c r="A29" s="62" t="str">
        <x:v>Other-group rate</x:v>
      </x:c>
      <x:c r="B29" s="75" t="n">
        <x:v>181</x:v>
      </x:c>
      <x:c r="C29" s="75" t="n">
        <x:v>1153</x:v>
      </x:c>
      <x:c r="D29" s="62" t="str">
        <x:v>=181 / 1,153</x:v>
      </x:c>
      <x:c r="E29" s="62" t="str">
        <x:v>Later same-HCP late cancels / other target-window decisions</x:v>
      </x:c>
    </x:row>
  </x:sheetData>
  <x:mergeCells>
    <x:mergeCell ref="A1:E2"/>
    <x:mergeCell ref="A3:E4"/>
    <x:mergeCell ref="A23:E23"/>
  </x:mergeCells>
  <x:conditionalFormatting sqref="D6:D20">
    <x:cfRule type="containsText" dxfId="4" priority="1" operator="containsText" text="PASS"/>
    <x:cfRule type="containsText" dxfId="5" priority="2" operator="containsText" text="CHECK"/>
  </x:conditionalFormatting>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7" hidden="0" customWidth="1"/>
    <x:col min="2" max="2" width="66" hidden="0" customWidth="1"/>
    <x:col min="3" max="3" width="43" hidden="0" customWidth="1"/>
    <x:col min="4" max="4" width="42" hidden="0" customWidth="1"/>
    <x:col min="5" max="5" width="14" hidden="0" customWidth="1"/>
    <x:col min="6" max="6" width="14" hidden="0" customWidth="1"/>
  </x:cols>
  <x:sheetData>
    <x:row r="1" ht="34" customHeight="1">
      <x:c r="A1" s="4" t="str">
        <x:v>Methodology, definitions, and disclosure</x:v>
      </x:c>
      <x:c r="B1" s="4" t="str">
        <x:v>Methodology, definitions, and disclosure</x:v>
      </x:c>
      <x:c r="C1" s="4" t="str">
        <x:v>Methodology, definitions, and disclosure</x:v>
      </x:c>
      <x:c r="D1" s="4" t="str">
        <x:v>Methodology, definitions, and disclosure</x:v>
      </x:c>
      <x:c r="E1" s="4" t="str">
        <x:v>Methodology, definitions, and disclosure</x:v>
      </x:c>
      <x:c r="F1" s="4" t="str">
        <x:v>Methodology, definitions, and disclosure</x:v>
      </x:c>
    </x:row>
    <x:row r="2" ht="34" customHeight="1">
      <x:c r="A2" s="4" t="str">
        <x:v>Methodology, definitions, and disclosure</x:v>
      </x:c>
      <x:c r="B2" s="4" t="str">
        <x:v>Methodology, definitions, and disclosure</x:v>
      </x:c>
      <x:c r="C2" s="4" t="str">
        <x:v>Methodology, definitions, and disclosure</x:v>
      </x:c>
      <x:c r="D2" s="4" t="str">
        <x:v>Methodology, definitions, and disclosure</x:v>
      </x:c>
      <x:c r="E2" s="4" t="str">
        <x:v>Methodology, definitions, and disclosure</x:v>
      </x:c>
      <x:c r="F2" s="4" t="str">
        <x:v>Methodology, definitions, and disclosure</x:v>
      </x:c>
    </x:row>
    <x:row r="3" ht="24" customHeight="1">
      <x:c r="A3" s="8" t="str">
        <x:v>A compact reference for how the workbook moves from supplied logs to the public evidence trail.</x:v>
      </x:c>
      <x:c r="B3" s="8" t="str">
        <x:v>A compact reference for how the workbook moves from supplied logs to the public evidence trail.</x:v>
      </x:c>
      <x:c r="C3" s="8" t="str">
        <x:v>A compact reference for how the workbook moves from supplied logs to the public evidence trail.</x:v>
      </x:c>
      <x:c r="D3" s="8" t="str">
        <x:v>A compact reference for how the workbook moves from supplied logs to the public evidence trail.</x:v>
      </x:c>
      <x:c r="E3" s="8" t="str">
        <x:v>A compact reference for how the workbook moves from supplied logs to the public evidence trail.</x:v>
      </x:c>
      <x:c r="F3" s="8" t="str">
        <x:v>A compact reference for how the workbook moves from supplied logs to the public evidence trail.</x:v>
      </x:c>
    </x:row>
    <x:row r="4" ht="24" customHeight="1">
      <x:c r="A4" s="8" t="str">
        <x:v>A compact reference for how the workbook moves from supplied logs to the public evidence trail.</x:v>
      </x:c>
      <x:c r="B4" s="8" t="str">
        <x:v>A compact reference for how the workbook moves from supplied logs to the public evidence trail.</x:v>
      </x:c>
      <x:c r="C4" s="8" t="str">
        <x:v>A compact reference for how the workbook moves from supplied logs to the public evidence trail.</x:v>
      </x:c>
      <x:c r="D4" s="8" t="str">
        <x:v>A compact reference for how the workbook moves from supplied logs to the public evidence trail.</x:v>
      </x:c>
      <x:c r="E4" s="8" t="str">
        <x:v>A compact reference for how the workbook moves from supplied logs to the public evidence trail.</x:v>
      </x:c>
      <x:c r="F4" s="8" t="str">
        <x:v>A compact reference for how the workbook moves from supplied logs to the public evidence trail.</x:v>
      </x:c>
    </x:row>
    <x:row r="5" ht="22" customHeight="1">
      <x:c r="A5" s="80" t="str">
        <x:v>EDA sequence</x:v>
      </x:c>
      <x:c r="B5" s="80" t="str">
        <x:v>EDA sequence</x:v>
      </x:c>
      <x:c r="C5" s="80" t="str">
        <x:v>EDA sequence</x:v>
      </x:c>
      <x:c r="D5" s="80" t="str">
        <x:v>EDA sequence</x:v>
      </x:c>
      <x:c r="E5" s="80" t="str">
        <x:v>EDA sequence</x:v>
      </x:c>
      <x:c r="F5" s="80" t="str">
        <x:v>EDA sequence</x:v>
      </x:c>
    </x:row>
    <x:row r="6" ht="28" customHeight="1">
      <x:c r="A6" s="70" t="str">
        <x:v>Stage</x:v>
      </x:c>
      <x:c r="B6" s="70" t="str">
        <x:v>Question</x:v>
      </x:c>
      <x:c r="C6" s="70" t="str">
        <x:v>Output</x:v>
      </x:c>
      <x:c r="D6" s="70" t="str">
        <x:v>Stop condition</x:v>
      </x:c>
    </x:row>
    <x:row r="7">
      <x:c r="A7" s="62" t="str">
        <x:v>1. Baseline</x:v>
      </x:c>
      <x:c r="B7" s="62" t="str">
        <x:v>How large are the defined outcomes?</x:v>
      </x:c>
      <x:c r="C7" s="62" t="str">
        <x:v>B-01 to B-03</x:v>
      </x:c>
      <x:c r="D7" s="62" t="str">
        <x:v>Outcome counts and overlap reconcile</x:v>
      </x:c>
    </x:row>
    <x:row r="8">
      <x:c r="A8" s="62" t="str">
        <x:v>2. Explore</x:v>
      </x:c>
      <x:c r="B8" s="62" t="str">
        <x:v>Which broad segments differ?</x:v>
      </x:c>
      <x:c r="C8" s="62" t="str">
        <x:v>C-01 to C-06</x:v>
      </x:c>
      <x:c r="D8" s="62" t="str">
        <x:v>Several plausible branches screened</x:v>
      </x:c>
    </x:row>
    <x:row r="9">
      <x:c r="A9" s="62" t="str">
        <x:v>3. Drill down</x:v>
      </x:c>
      <x:c r="B9" s="62" t="str">
        <x:v>Does the selected pattern persist under a tighter view?</x:v>
      </x:c>
      <x:c r="C9" s="62" t="str">
        <x:v>D-01 to D-03</x:v>
      </x:c>
      <x:c r="D9" s="62" t="str">
        <x:v>A bounded path survives a reasonableness check</x:v>
      </x:c>
    </x:row>
    <x:row r="10">
      <x:c r="A10" s="62" t="str">
        <x:v>4. Validate</x:v>
      </x:c>
      <x:c r="B10" s="62" t="str">
        <x:v>Do populations, timing, and arithmetic reconcile?</x:v>
      </x:c>
      <x:c r="C10" s="62" t="str">
        <x:v>V-01 and W-02 checks</x:v>
      </x:c>
      <x:c r="D10" s="62" t="str">
        <x:v>All selected calculations pass</x:v>
      </x:c>
    </x:row>
    <x:row r="11">
      <x:c r="A11" s="62" t="str">
        <x:v>5. Decide</x:v>
      </x:c>
      <x:c r="B11" s="62" t="str">
        <x:v>What single intervention is testable?</x:v>
      </x:c>
      <x:c r="C11" s="62" t="str">
        <x:v>Randomized preferred-access pilot</x:v>
      </x:c>
      <x:c r="D11" s="62" t="str">
        <x:v>Recommendation, guardrails, and decision rule specified</x:v>
      </x:c>
    </x:row>
    <x:row r="14" ht="22" customHeight="1">
      <x:c r="A14" s="80" t="str">
        <x:v>Key definitions</x:v>
      </x:c>
      <x:c r="B14" s="80" t="str">
        <x:v>Key definitions</x:v>
      </x:c>
      <x:c r="C14" s="80" t="str">
        <x:v>Key definitions</x:v>
      </x:c>
      <x:c r="D14" s="80" t="str">
        <x:v>Key definitions</x:v>
      </x:c>
      <x:c r="E14" s="80" t="str">
        <x:v>Key definitions</x:v>
      </x:c>
      <x:c r="F14" s="80" t="str">
        <x:v>Key definitions</x:v>
      </x:c>
    </x:row>
    <x:row r="15" ht="28" customHeight="1">
      <x:c r="A15" s="70" t="str">
        <x:v>Term</x:v>
      </x:c>
      <x:c r="B15" s="70" t="str">
        <x:v>Definition</x:v>
      </x:c>
      <x:c r="C15" s="70" t="str">
        <x:v>Use</x:v>
      </x:c>
    </x:row>
    <x:row r="16">
      <x:c r="A16" s="62" t="str">
        <x:v>Late cancellation</x:v>
      </x:c>
      <x:c r="B16" s="62" t="str">
        <x:v>HCP cancellation recorded less than 24 hours before scheduled shift start</x:v>
      </x:c>
      <x:c r="C16" s="62" t="str">
        <x:v>Primary historical outcome and proposed pilot metric</x:v>
      </x:c>
    </x:row>
    <x:row r="17">
      <x:c r="A17" s="62" t="str">
        <x:v>NCNS</x:v>
      </x:c>
      <x:c r="B17" s="62" t="str">
        <x:v>No-call/no-show; a separate logged outcome</x:v>
      </x:c>
      <x:c r="C17" s="62" t="str">
        <x:v>Pilot guardrail</x:v>
      </x:c>
    </x:row>
    <x:row r="18">
      <x:c r="A18" s="62" t="str">
        <x:v>Booking lead time</x:v>
      </x:c>
      <x:c r="B18" s="62" t="str">
        <x:v>Supplied time from booking action to scheduled start</x:v>
      </x:c>
      <x:c r="C18" s="62" t="str">
        <x:v>Defines timing bands</x:v>
      </x:c>
    </x:row>
    <x:row r="19">
      <x:c r="A19" s="62" t="str">
        <x:v>Cancellation lead time</x:v>
      </x:c>
      <x:c r="B19" s="62" t="str">
        <x:v>Supplied time from cancellation action to scheduled start</x:v>
      </x:c>
      <x:c r="C19" s="62" t="str">
        <x:v>Distinct from booking lead time</x:v>
      </x:c>
    </x:row>
    <x:row r="20">
      <x:c r="A20" s="62" t="str">
        <x:v>Prior resolved shift</x:v>
      </x:c>
      <x:c r="B20" s="62" t="str">
        <x:v>Unique HCP-Shift ID association resolved before a target booking timestamp</x:v>
      </x:c>
      <x:c r="C20" s="62" t="str">
        <x:v>Time-aware history denominator</x:v>
      </x:c>
    </x:row>
    <x:row r="23" ht="22" customHeight="1">
      <x:c r="A23" s="80" t="str">
        <x:v>Public logical data dictionary</x:v>
      </x:c>
      <x:c r="B23" s="80" t="str">
        <x:v>Public logical data dictionary</x:v>
      </x:c>
      <x:c r="C23" s="80" t="str">
        <x:v>Public logical data dictionary</x:v>
      </x:c>
      <x:c r="D23" s="80" t="str">
        <x:v>Public logical data dictionary</x:v>
      </x:c>
      <x:c r="E23" s="80" t="str">
        <x:v>Public logical data dictionary</x:v>
      </x:c>
      <x:c r="F23" s="80" t="str">
        <x:v>Public logical data dictionary</x:v>
      </x:c>
    </x:row>
    <x:row r="24" ht="28" customHeight="1">
      <x:c r="A24" s="70" t="str">
        <x:v>Logical table</x:v>
      </x:c>
      <x:c r="B24" s="70" t="str">
        <x:v>Grain</x:v>
      </x:c>
      <x:c r="C24" s="70" t="str">
        <x:v>Candidate key</x:v>
      </x:c>
      <x:c r="D24" s="70" t="str">
        <x:v>Relationship</x:v>
      </x:c>
    </x:row>
    <x:row r="25">
      <x:c r="A25" s="62" t="str">
        <x:v>Shift log</x:v>
      </x:c>
      <x:c r="B25" s="62" t="str">
        <x:v>One posted shift</x:v>
      </x:c>
      <x:c r="C25" s="62" t="str">
        <x:v>Shift ID</x:v>
      </x:c>
      <x:c r="D25" s="62" t="str">
        <x:v>Defines the 41,040-shift Metro A population</x:v>
      </x:c>
    </x:row>
    <x:row r="26">
      <x:c r="A26" s="62" t="str">
        <x:v>Booking-event log</x:v>
      </x:c>
      <x:c r="B26" s="62" t="str">
        <x:v>One booking action</x:v>
      </x:c>
      <x:c r="C26" s="62" t="str">
        <x:v>Action ID</x:v>
      </x:c>
      <x:c r="D26" s="62" t="str">
        <x:v>Links to shift through Shift ID; broader population</x:v>
      </x:c>
    </x:row>
    <x:row r="27">
      <x:c r="A27" s="62" t="str">
        <x:v>Cancellation-event log</x:v>
      </x:c>
      <x:c r="B27" s="62" t="str">
        <x:v>One cancellation or NCNS action</x:v>
      </x:c>
      <x:c r="C27" s="62" t="str">
        <x:v>Action ID</x:v>
      </x:c>
      <x:c r="D27" s="62" t="str">
        <x:v>Links to shift through Shift ID; broader population</x:v>
      </x:c>
    </x:row>
    <x:row r="28">
      <x:c r="A28" s="62" t="str">
        <x:v>Shift mart</x:v>
      </x:c>
      <x:c r="B28" s="62" t="str">
        <x:v>One Metro A shift</x:v>
      </x:c>
      <x:c r="C28" s="62" t="str">
        <x:v>Shift ID</x:v>
      </x:c>
      <x:c r="D28" s="62" t="str">
        <x:v>Aggregates matched event flags and timing features</x:v>
      </x:c>
    </x:row>
    <x:row r="31" ht="22" customHeight="1">
      <x:c r="A31" s="80" t="str">
        <x:v>Material assumptions and limitations</x:v>
      </x:c>
      <x:c r="B31" s="80" t="str">
        <x:v>Material assumptions and limitations</x:v>
      </x:c>
      <x:c r="C31" s="80" t="str">
        <x:v>Material assumptions and limitations</x:v>
      </x:c>
      <x:c r="D31" s="80" t="str">
        <x:v>Material assumptions and limitations</x:v>
      </x:c>
      <x:c r="E31" s="80" t="str">
        <x:v>Material assumptions and limitations</x:v>
      </x:c>
      <x:c r="F31" s="80" t="str">
        <x:v>Material assumptions and limitations</x:v>
      </x:c>
    </x:row>
    <x:row r="32" ht="28" customHeight="1">
      <x:c r="A32" s="70" t="str">
        <x:v>Item</x:v>
      </x:c>
      <x:c r="B32" s="70" t="str">
        <x:v>Disclosure</x:v>
      </x:c>
    </x:row>
    <x:row r="33">
      <x:c r="A33" s="62" t="str">
        <x:v>Geography</x:v>
      </x:c>
      <x:c r="B33" s="62" t="str">
        <x:v>Metro A representativeness is a case assumption; refresh before applying elsewhere</x:v>
      </x:c>
    </x:row>
    <x:row r="34">
      <x:c r="A34" s="62" t="str">
        <x:v>Event scope</x:v>
      </x:c>
      <x:c r="B34" s="62" t="str">
        <x:v>Event logs cover Shift IDs beyond the shift-log analysis population</x:v>
      </x:c>
    </x:row>
    <x:row r="35">
      <x:c r="A35" s="62" t="str">
        <x:v>Multiple events</x:v>
      </x:c>
      <x:c r="B35" s="62" t="str">
        <x:v>One Shift ID can have multiple bookings and cancellations</x:v>
      </x:c>
    </x:row>
    <x:row r="36">
      <x:c r="A36" s="62" t="str">
        <x:v>Historical coverage</x:v>
      </x:c>
      <x:c r="B36" s="62" t="str">
        <x:v>The supplied records may omit earlier HCP activity</x:v>
      </x:c>
    </x:row>
    <x:row r="37">
      <x:c r="A37" s="62" t="str">
        <x:v>Timing exceptions</x:v>
      </x:c>
      <x:c r="B37" s="62" t="str">
        <x:v>Negative booking lead times are preserved but excluded from retained timing bands</x:v>
      </x:c>
    </x:row>
    <x:row r="38">
      <x:c r="A38" s="62" t="str">
        <x:v>Missing start</x:v>
      </x:c>
      <x:c r="B38" s="62" t="str">
        <x:v>One analysis-population shift is excluded only where scheduled start is required</x:v>
      </x:c>
    </x:row>
    <x:row r="39">
      <x:c r="A39" s="62" t="str">
        <x:v>Causality</x:v>
      </x:c>
      <x:c r="B39" s="62" t="str">
        <x:v>Historical comparisons are descriptive; the randomized pilot is needed for impact</x:v>
      </x:c>
    </x:row>
    <x:row r="40">
      <x:c r="A40" s="62" t="str">
        <x:v>Publication</x:v>
      </x:c>
      <x:c r="B40" s="62" t="str">
        <x:v>No supplied, cleaned, or joined row-level operational records are included</x:v>
      </x:c>
    </x:row>
    <x:row r="43">
      <x:c r="A43" s="99" t="str">
        <x:v>Portfolio aliases: MarketplaceCo is used for the company and Metro A for the market. For the public source fields and types, read data/source-schema.md. For the complete hypothesis catalog, read analysis/issue-tree.md. For the narrative evidence record, read analysis/eda-methodology-and-evidence.md.</x:v>
      </x:c>
      <x:c r="B43" s="100"/>
      <x:c r="C43" s="100"/>
      <x:c r="D43" s="100"/>
      <x:c r="E43" s="100"/>
      <x:c r="F43" s="101"/>
    </x:row>
    <x:row r="44">
      <x:c r="A44" s="102"/>
      <x:c r="B44" s="103"/>
      <x:c r="C44" s="103"/>
      <x:c r="D44" s="103"/>
      <x:c r="E44" s="103"/>
      <x:c r="F44" s="104"/>
    </x:row>
    <x:row r="45">
      <x:c r="A45" s="102"/>
      <x:c r="B45" s="103"/>
      <x:c r="C45" s="103"/>
      <x:c r="D45" s="103"/>
      <x:c r="E45" s="103"/>
      <x:c r="F45" s="104"/>
    </x:row>
    <x:row r="46">
      <x:c r="A46" s="105"/>
      <x:c r="B46" s="106"/>
      <x:c r="C46" s="106"/>
      <x:c r="D46" s="106"/>
      <x:c r="E46" s="106"/>
      <x:c r="F46" s="107"/>
    </x:row>
  </x:sheetData>
  <x:mergeCells>
    <x:mergeCell ref="A1:F2"/>
    <x:mergeCell ref="A3:F4"/>
    <x:mergeCell ref="A5:F5"/>
    <x:mergeCell ref="A14:F14"/>
    <x:mergeCell ref="A23:F23"/>
    <x:mergeCell ref="A31:F31"/>
    <x:mergeCell ref="A43:F46"/>
  </x:mergeCells>
  <x:pageMargins left="0.7" right="0.7" top="0.75" bottom="0.75" header="0.3" footer="0.3"/>
</x:worksheet>
</file>